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4.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CAPACITI-JHB\Downloads\"/>
    </mc:Choice>
  </mc:AlternateContent>
  <xr:revisionPtr revIDLastSave="0" documentId="8_{7C9A6C50-25AD-430F-A790-436B87AD64AB}" xr6:coauthVersionLast="47" xr6:coauthVersionMax="47" xr10:uidLastSave="{00000000-0000-0000-0000-000000000000}"/>
  <bookViews>
    <workbookView xWindow="-120" yWindow="-120" windowWidth="24240" windowHeight="13140" firstSheet="5" activeTab="5" xr2:uid="{37EBE1C1-A0B3-4690-B443-CE595A3F6A2A}"/>
  </bookViews>
  <sheets>
    <sheet name="Sales-Targets" sheetId="3" r:id="rId1"/>
    <sheet name="Detail1" sheetId="5" r:id="rId2"/>
    <sheet name="Detail2" sheetId="6" r:id="rId3"/>
    <sheet name="Sheet2" sheetId="4" r:id="rId4"/>
    <sheet name="Sales-Monthly (2)" sheetId="2" r:id="rId5"/>
    <sheet name="Sheet1" sheetId="1" r:id="rId6"/>
  </sheets>
  <definedNames>
    <definedName name="ExternalData_1" localSheetId="4" hidden="1">'Sales-Monthly (2)'!$A$1:$D$49</definedName>
    <definedName name="ExternalData_2" localSheetId="0" hidden="1">'Sales-Targets'!$A$1:$C$49</definedName>
    <definedName name="Slicer_Month">#N/A</definedName>
    <definedName name="Slicer_Region">#N/A</definedName>
  </definedNames>
  <calcPr calcId="191028"/>
  <pivotCaches>
    <pivotCache cacheId="404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DD86FF-8770-4B49-AF05-51BF1A64C56A}" keepAlive="1" name="Query - Sales-Monthly (2)" description="Connection to the 'Sales-Monthly (2)' query in the workbook." type="5" refreshedVersion="8" background="1" saveData="1">
    <dbPr connection="Provider=Microsoft.Mashup.OleDb.1;Data Source=$Workbook$;Location=&quot;Sales-Monthly (2)&quot;;Extended Properties=&quot;&quot;" command="SELECT * FROM [Sales-Monthly (2)]"/>
  </connection>
  <connection id="2" xr16:uid="{D75B5BB9-4F0D-4F14-A583-6BDE21A12B60}" keepAlive="1" name="Query - Sales-Targets" description="Connection to the 'Sales-Targets' query in the workbook." type="5" refreshedVersion="8" background="1" saveData="1">
    <dbPr connection="Provider=Microsoft.Mashup.OleDb.1;Data Source=$Workbook$;Location=Sales-Targets;Extended Properties=&quot;&quot;" command="SELECT * FROM [Sales-Targets]"/>
  </connection>
</connections>
</file>

<file path=xl/sharedStrings.xml><?xml version="1.0" encoding="utf-8"?>
<sst xmlns="http://schemas.openxmlformats.org/spreadsheetml/2006/main" count="181" uniqueCount="30">
  <si>
    <t>Month</t>
  </si>
  <si>
    <t>Region</t>
  </si>
  <si>
    <t>Revenue_Target</t>
  </si>
  <si>
    <t>North</t>
  </si>
  <si>
    <t>South</t>
  </si>
  <si>
    <t>East</t>
  </si>
  <si>
    <t>West</t>
  </si>
  <si>
    <t>Details for Sum of Revenue_Target - Region: East</t>
  </si>
  <si>
    <t xml:space="preserve"> </t>
  </si>
  <si>
    <t>Actual_Revenue</t>
  </si>
  <si>
    <t>Details for Sum of Revenue_Target - Region: South</t>
  </si>
  <si>
    <t>Row Labels</t>
  </si>
  <si>
    <t>Sum of Actual_Revenue</t>
  </si>
  <si>
    <t>Sum of Revenue_Target</t>
  </si>
  <si>
    <t>Sum of Varience</t>
  </si>
  <si>
    <t>Grand Total</t>
  </si>
  <si>
    <t xml:space="preserve">                                                   Sum of % Achivement</t>
  </si>
  <si>
    <t>Jan</t>
  </si>
  <si>
    <t>Feb</t>
  </si>
  <si>
    <t>Mar</t>
  </si>
  <si>
    <t>Apr</t>
  </si>
  <si>
    <t>May</t>
  </si>
  <si>
    <t>Jun</t>
  </si>
  <si>
    <t>Jul</t>
  </si>
  <si>
    <t>Aug</t>
  </si>
  <si>
    <t>Sep</t>
  </si>
  <si>
    <t>Oct</t>
  </si>
  <si>
    <t>Nov</t>
  </si>
  <si>
    <t>Dec</t>
  </si>
  <si>
    <t>Sum of % Achivement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</si>
</sst>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49" fontId="0" fillId="0" borderId="0" xfId="0" applyNumberFormat="1"/>
    <xf numFmtId="1"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1" fillId="0" borderId="0" xfId="0" applyFont="1"/>
  </cellXfs>
  <cellStyles count="1">
    <cellStyle name="Normal" xfId="0" builtinId="0"/>
  </cellStyles>
  <dxfs count="14">
    <dxf>
      <numFmt numFmtId="1" formatCode="0"/>
    </dxf>
    <dxf>
      <numFmt numFmtId="1" formatCode="0"/>
    </dxf>
    <dxf>
      <numFmt numFmtId="30" formatCode="@"/>
    </dxf>
    <dxf>
      <numFmt numFmtId="164" formatCode="[$-409]d\-mmm\-yyyy;@"/>
    </dxf>
    <dxf>
      <numFmt numFmtId="19" formatCode="m/d/yyyy"/>
    </dxf>
    <dxf>
      <numFmt numFmtId="19" formatCode="m/d/yyyy"/>
    </dxf>
    <dxf>
      <numFmt numFmtId="0" formatCode="General"/>
    </dxf>
    <dxf>
      <numFmt numFmtId="19" formatCode="m/d/yyyy"/>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7 Project.xlsx]Sheet2!PivotTable3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sng" strike="noStrike" baseline="0">
                <a:solidFill>
                  <a:schemeClr val="accent1"/>
                </a:solidFill>
              </a:rPr>
              <a:t>Actual vs Target by Month</a:t>
            </a:r>
            <a:endParaRPr lang="en-US" b="1" u="sng">
              <a:solidFill>
                <a:schemeClr val="accent1"/>
              </a:solidFill>
            </a:endParaRPr>
          </a:p>
        </c:rich>
      </c:tx>
      <c:layout>
        <c:manualLayout>
          <c:xMode val="edge"/>
          <c:yMode val="edge"/>
          <c:x val="0.23068385013088469"/>
          <c:y val="4.1666643883068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Sheet2!$B$25:$B$37</c:f>
              <c:numCache>
                <c:formatCode>0</c:formatCode>
                <c:ptCount val="12"/>
                <c:pt idx="0">
                  <c:v>181000</c:v>
                </c:pt>
                <c:pt idx="1">
                  <c:v>184200</c:v>
                </c:pt>
                <c:pt idx="2">
                  <c:v>187400</c:v>
                </c:pt>
                <c:pt idx="3">
                  <c:v>181000</c:v>
                </c:pt>
                <c:pt idx="4">
                  <c:v>184200</c:v>
                </c:pt>
                <c:pt idx="5">
                  <c:v>187400</c:v>
                </c:pt>
                <c:pt idx="6">
                  <c:v>181000</c:v>
                </c:pt>
                <c:pt idx="7">
                  <c:v>184200</c:v>
                </c:pt>
                <c:pt idx="8">
                  <c:v>187400</c:v>
                </c:pt>
                <c:pt idx="9">
                  <c:v>181000</c:v>
                </c:pt>
                <c:pt idx="10">
                  <c:v>184200</c:v>
                </c:pt>
                <c:pt idx="11">
                  <c:v>187400</c:v>
                </c:pt>
              </c:numCache>
            </c:numRef>
          </c:val>
          <c:smooth val="0"/>
          <c:extLst>
            <c:ext xmlns:c16="http://schemas.microsoft.com/office/drawing/2014/chart" uri="{C3380CC4-5D6E-409C-BE32-E72D297353CC}">
              <c16:uniqueId val="{00000000-6251-4495-9EC1-D21141C8B875}"/>
            </c:ext>
          </c:extLst>
        </c:ser>
        <c:dLbls>
          <c:showLegendKey val="0"/>
          <c:showVal val="0"/>
          <c:showCatName val="0"/>
          <c:showSerName val="0"/>
          <c:showPercent val="0"/>
          <c:showBubbleSize val="0"/>
        </c:dLbls>
        <c:marker val="1"/>
        <c:smooth val="0"/>
        <c:axId val="346713696"/>
        <c:axId val="346695456"/>
      </c:lineChart>
      <c:catAx>
        <c:axId val="34671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95456"/>
        <c:crosses val="autoZero"/>
        <c:auto val="1"/>
        <c:lblAlgn val="ctr"/>
        <c:lblOffset val="100"/>
        <c:noMultiLvlLbl val="0"/>
      </c:catAx>
      <c:valAx>
        <c:axId val="346695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71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7 Project.xlsx]Sheet2!PivotTable5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sng" strike="noStrike" baseline="0">
                <a:solidFill>
                  <a:schemeClr val="accent1"/>
                </a:solidFill>
              </a:rPr>
              <a:t>Variance by Region</a:t>
            </a:r>
            <a:endParaRPr lang="en-US" b="1" u="sng">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Sheet2!$B$45</c:f>
              <c:strCache>
                <c:ptCount val="1"/>
                <c:pt idx="0">
                  <c:v>Total</c:v>
                </c:pt>
              </c:strCache>
            </c:strRef>
          </c:tx>
          <c:spPr>
            <a:solidFill>
              <a:schemeClr val="accent1"/>
            </a:solidFill>
            <a:ln>
              <a:noFill/>
            </a:ln>
            <a:effectLst/>
          </c:spPr>
          <c:invertIfNegative val="0"/>
          <c:cat>
            <c:strRef>
              <c:f>Sheet2!$A$46:$A$50</c:f>
              <c:strCache>
                <c:ptCount val="4"/>
                <c:pt idx="0">
                  <c:v>East</c:v>
                </c:pt>
                <c:pt idx="1">
                  <c:v>North</c:v>
                </c:pt>
                <c:pt idx="2">
                  <c:v>South</c:v>
                </c:pt>
                <c:pt idx="3">
                  <c:v>West</c:v>
                </c:pt>
              </c:strCache>
            </c:strRef>
          </c:cat>
          <c:val>
            <c:numRef>
              <c:f>Sheet2!$B$46:$B$50</c:f>
              <c:numCache>
                <c:formatCode>0</c:formatCode>
                <c:ptCount val="4"/>
                <c:pt idx="0">
                  <c:v>24000</c:v>
                </c:pt>
                <c:pt idx="1">
                  <c:v>36000</c:v>
                </c:pt>
                <c:pt idx="2">
                  <c:v>0</c:v>
                </c:pt>
                <c:pt idx="3">
                  <c:v>-2000</c:v>
                </c:pt>
              </c:numCache>
            </c:numRef>
          </c:val>
          <c:extLst>
            <c:ext xmlns:c16="http://schemas.microsoft.com/office/drawing/2014/chart" uri="{C3380CC4-5D6E-409C-BE32-E72D297353CC}">
              <c16:uniqueId val="{00000000-7DA0-4FA6-B8A3-58C52567F7E1}"/>
            </c:ext>
          </c:extLst>
        </c:ser>
        <c:dLbls>
          <c:showLegendKey val="0"/>
          <c:showVal val="0"/>
          <c:showCatName val="0"/>
          <c:showSerName val="0"/>
          <c:showPercent val="0"/>
          <c:showBubbleSize val="0"/>
        </c:dLbls>
        <c:gapWidth val="182"/>
        <c:axId val="1754502991"/>
        <c:axId val="1754503471"/>
      </c:barChart>
      <c:catAx>
        <c:axId val="1754502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03471"/>
        <c:crosses val="autoZero"/>
        <c:auto val="1"/>
        <c:lblAlgn val="ctr"/>
        <c:lblOffset val="100"/>
        <c:noMultiLvlLbl val="0"/>
      </c:catAx>
      <c:valAx>
        <c:axId val="17545034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0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7 Project.xlsx]Sheet2!PivotTable2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Sheet2!$B$12</c:f>
              <c:strCache>
                <c:ptCount val="1"/>
                <c:pt idx="0">
                  <c:v>Sum of Actual_Revenue</c:v>
                </c:pt>
              </c:strCache>
            </c:strRef>
          </c:tx>
          <c:spPr>
            <a:solidFill>
              <a:schemeClr val="accent1"/>
            </a:solidFill>
            <a:ln>
              <a:noFill/>
            </a:ln>
            <a:effectLst/>
          </c:spPr>
          <c:invertIfNegative val="0"/>
          <c:cat>
            <c:strRef>
              <c:f>Sheet2!$A$13:$A$17</c:f>
              <c:strCache>
                <c:ptCount val="4"/>
                <c:pt idx="0">
                  <c:v>East</c:v>
                </c:pt>
                <c:pt idx="1">
                  <c:v>North</c:v>
                </c:pt>
                <c:pt idx="2">
                  <c:v>South</c:v>
                </c:pt>
                <c:pt idx="3">
                  <c:v>West</c:v>
                </c:pt>
              </c:strCache>
            </c:strRef>
          </c:cat>
          <c:val>
            <c:numRef>
              <c:f>Sheet2!$B$13:$B$17</c:f>
              <c:numCache>
                <c:formatCode>0</c:formatCode>
                <c:ptCount val="4"/>
                <c:pt idx="0">
                  <c:v>549600</c:v>
                </c:pt>
                <c:pt idx="1">
                  <c:v>645600</c:v>
                </c:pt>
                <c:pt idx="2">
                  <c:v>585600</c:v>
                </c:pt>
                <c:pt idx="3">
                  <c:v>487600</c:v>
                </c:pt>
              </c:numCache>
            </c:numRef>
          </c:val>
          <c:extLst>
            <c:ext xmlns:c16="http://schemas.microsoft.com/office/drawing/2014/chart" uri="{C3380CC4-5D6E-409C-BE32-E72D297353CC}">
              <c16:uniqueId val="{00000000-FB71-4614-95F9-DF5BA5E46BEB}"/>
            </c:ext>
          </c:extLst>
        </c:ser>
        <c:ser>
          <c:idx val="1"/>
          <c:order val="1"/>
          <c:tx>
            <c:strRef>
              <c:f>Sheet2!$C$12</c:f>
              <c:strCache>
                <c:ptCount val="1"/>
                <c:pt idx="0">
                  <c:v>Sum of Revenue_Target</c:v>
                </c:pt>
              </c:strCache>
            </c:strRef>
          </c:tx>
          <c:spPr>
            <a:solidFill>
              <a:schemeClr val="accent2"/>
            </a:solidFill>
            <a:ln>
              <a:noFill/>
            </a:ln>
            <a:effectLst/>
          </c:spPr>
          <c:invertIfNegative val="0"/>
          <c:cat>
            <c:strRef>
              <c:f>Sheet2!$A$13:$A$17</c:f>
              <c:strCache>
                <c:ptCount val="4"/>
                <c:pt idx="0">
                  <c:v>East</c:v>
                </c:pt>
                <c:pt idx="1">
                  <c:v>North</c:v>
                </c:pt>
                <c:pt idx="2">
                  <c:v>South</c:v>
                </c:pt>
                <c:pt idx="3">
                  <c:v>West</c:v>
                </c:pt>
              </c:strCache>
            </c:strRef>
          </c:cat>
          <c:val>
            <c:numRef>
              <c:f>Sheet2!$C$13:$C$17</c:f>
              <c:numCache>
                <c:formatCode>0</c:formatCode>
                <c:ptCount val="4"/>
                <c:pt idx="0">
                  <c:v>525600</c:v>
                </c:pt>
                <c:pt idx="1">
                  <c:v>609600</c:v>
                </c:pt>
                <c:pt idx="2">
                  <c:v>585600</c:v>
                </c:pt>
                <c:pt idx="3">
                  <c:v>489600</c:v>
                </c:pt>
              </c:numCache>
            </c:numRef>
          </c:val>
          <c:extLst>
            <c:ext xmlns:c16="http://schemas.microsoft.com/office/drawing/2014/chart" uri="{C3380CC4-5D6E-409C-BE32-E72D297353CC}">
              <c16:uniqueId val="{00000001-FB71-4614-95F9-DF5BA5E46BEB}"/>
            </c:ext>
          </c:extLst>
        </c:ser>
        <c:ser>
          <c:idx val="2"/>
          <c:order val="2"/>
          <c:tx>
            <c:strRef>
              <c:f>Sheet2!$D$12</c:f>
              <c:strCache>
                <c:ptCount val="1"/>
                <c:pt idx="0">
                  <c:v>                                                   Sum of % Achivement</c:v>
                </c:pt>
              </c:strCache>
            </c:strRef>
          </c:tx>
          <c:spPr>
            <a:solidFill>
              <a:schemeClr val="accent3"/>
            </a:solidFill>
            <a:ln>
              <a:noFill/>
            </a:ln>
            <a:effectLst/>
          </c:spPr>
          <c:invertIfNegative val="0"/>
          <c:cat>
            <c:strRef>
              <c:f>Sheet2!$A$13:$A$17</c:f>
              <c:strCache>
                <c:ptCount val="4"/>
                <c:pt idx="0">
                  <c:v>East</c:v>
                </c:pt>
                <c:pt idx="1">
                  <c:v>North</c:v>
                </c:pt>
                <c:pt idx="2">
                  <c:v>South</c:v>
                </c:pt>
                <c:pt idx="3">
                  <c:v>West</c:v>
                </c:pt>
              </c:strCache>
            </c:strRef>
          </c:cat>
          <c:val>
            <c:numRef>
              <c:f>Sheet2!$D$13:$D$17</c:f>
              <c:numCache>
                <c:formatCode>0%</c:formatCode>
                <c:ptCount val="4"/>
                <c:pt idx="0">
                  <c:v>1.0456621004566211</c:v>
                </c:pt>
                <c:pt idx="1">
                  <c:v>1.0590551181102361</c:v>
                </c:pt>
                <c:pt idx="2">
                  <c:v>1</c:v>
                </c:pt>
                <c:pt idx="3">
                  <c:v>0.99591503267973858</c:v>
                </c:pt>
              </c:numCache>
            </c:numRef>
          </c:val>
          <c:extLst>
            <c:ext xmlns:c16="http://schemas.microsoft.com/office/drawing/2014/chart" uri="{C3380CC4-5D6E-409C-BE32-E72D297353CC}">
              <c16:uniqueId val="{00000002-FB71-4614-95F9-DF5BA5E46BEB}"/>
            </c:ext>
          </c:extLst>
        </c:ser>
        <c:dLbls>
          <c:showLegendKey val="0"/>
          <c:showVal val="0"/>
          <c:showCatName val="0"/>
          <c:showSerName val="0"/>
          <c:showPercent val="0"/>
          <c:showBubbleSize val="0"/>
        </c:dLbls>
        <c:gapWidth val="219"/>
        <c:overlap val="-27"/>
        <c:axId val="577518335"/>
        <c:axId val="577520735"/>
      </c:barChart>
      <c:catAx>
        <c:axId val="57751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520735"/>
        <c:crosses val="autoZero"/>
        <c:auto val="1"/>
        <c:lblAlgn val="ctr"/>
        <c:lblOffset val="100"/>
        <c:noMultiLvlLbl val="0"/>
      </c:catAx>
      <c:valAx>
        <c:axId val="577520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51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7 Project.xlsx]Sheet2!PivotTable5</c:name>
    <c:fmtId val="8"/>
  </c:pivotSource>
  <c:chart>
    <c:title>
      <c:tx>
        <c:rich>
          <a:bodyPr rot="0" spcFirstLastPara="1" vertOverflow="ellipsis" vert="horz" wrap="square" anchor="ctr" anchorCtr="1"/>
          <a:lstStyle/>
          <a:p>
            <a:pPr algn="ctr" rtl="0">
              <a:defRPr lang="en-US" sz="1400" b="1" i="0" u="sng" strike="noStrike" kern="1200" spc="0" baseline="0">
                <a:solidFill>
                  <a:schemeClr val="accent1"/>
                </a:solidFill>
                <a:latin typeface="+mn-lt"/>
                <a:ea typeface="+mn-ea"/>
                <a:cs typeface="+mn-cs"/>
              </a:defRPr>
            </a:pPr>
            <a:r>
              <a:rPr lang="en-US" sz="1400" b="1" i="0" u="sng" strike="noStrike" kern="1200" spc="0" baseline="0">
                <a:solidFill>
                  <a:schemeClr val="accent1"/>
                </a:solidFill>
                <a:latin typeface="+mn-lt"/>
                <a:ea typeface="+mn-ea"/>
                <a:cs typeface="+mn-cs"/>
              </a:rPr>
              <a:t>Variance by Region</a:t>
            </a:r>
          </a:p>
        </c:rich>
      </c:tx>
      <c:overlay val="0"/>
      <c:spPr>
        <a:noFill/>
        <a:ln>
          <a:noFill/>
        </a:ln>
        <a:effectLst/>
      </c:spPr>
      <c:txPr>
        <a:bodyPr rot="0" spcFirstLastPara="1" vertOverflow="ellipsis" vert="horz" wrap="square" anchor="ctr" anchorCtr="1"/>
        <a:lstStyle/>
        <a:p>
          <a:pPr algn="ctr" rtl="0">
            <a:defRPr lang="en-US" sz="1400" b="1" i="0" u="sng" strike="noStrike" kern="1200" spc="0" baseline="0">
              <a:solidFill>
                <a:schemeClr val="accen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Sheet2!$B$45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5AA-40D8-81A6-19883298AE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5AA-40D8-81A6-19883298AE4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5AA-40D8-81A6-19883298AE4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95AA-40D8-81A6-19883298AE46}"/>
              </c:ext>
            </c:extLst>
          </c:dPt>
          <c:cat>
            <c:strRef>
              <c:f>Sheet2!$A$46:$A$50</c:f>
              <c:strCache>
                <c:ptCount val="4"/>
                <c:pt idx="0">
                  <c:v>East</c:v>
                </c:pt>
                <c:pt idx="1">
                  <c:v>North</c:v>
                </c:pt>
                <c:pt idx="2">
                  <c:v>South</c:v>
                </c:pt>
                <c:pt idx="3">
                  <c:v>West</c:v>
                </c:pt>
              </c:strCache>
            </c:strRef>
          </c:cat>
          <c:val>
            <c:numRef>
              <c:f>Sheet2!$B$46:$B$50</c:f>
              <c:numCache>
                <c:formatCode>0</c:formatCode>
                <c:ptCount val="4"/>
                <c:pt idx="0">
                  <c:v>24000</c:v>
                </c:pt>
                <c:pt idx="1">
                  <c:v>36000</c:v>
                </c:pt>
                <c:pt idx="2">
                  <c:v>0</c:v>
                </c:pt>
                <c:pt idx="3">
                  <c:v>-2000</c:v>
                </c:pt>
              </c:numCache>
            </c:numRef>
          </c:val>
          <c:extLst>
            <c:ext xmlns:c16="http://schemas.microsoft.com/office/drawing/2014/chart" uri="{C3380CC4-5D6E-409C-BE32-E72D297353CC}">
              <c16:uniqueId val="{00000008-95AA-40D8-81A6-19883298AE4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266700</xdr:colOff>
      <xdr:row>0</xdr:row>
      <xdr:rowOff>133350</xdr:rowOff>
    </xdr:from>
    <xdr:to>
      <xdr:col>24</xdr:col>
      <xdr:colOff>238125</xdr:colOff>
      <xdr:row>5</xdr:row>
      <xdr:rowOff>19050</xdr:rowOff>
    </xdr:to>
    <xdr:sp macro="" textlink="">
      <xdr:nvSpPr>
        <xdr:cNvPr id="2" name="Rectangle: Rounded Corners 1">
          <a:extLst>
            <a:ext uri="{FF2B5EF4-FFF2-40B4-BE49-F238E27FC236}">
              <a16:creationId xmlns:a16="http://schemas.microsoft.com/office/drawing/2014/main" id="{6ABBB666-213D-6431-39CA-5AA5A56BBD00}"/>
            </a:ext>
          </a:extLst>
        </xdr:cNvPr>
        <xdr:cNvSpPr/>
      </xdr:nvSpPr>
      <xdr:spPr>
        <a:xfrm>
          <a:off x="266700" y="133350"/>
          <a:ext cx="14601825" cy="838200"/>
        </a:xfrm>
        <a:prstGeom prst="roundRect">
          <a:avLst/>
        </a:prstGeom>
        <a:solidFill>
          <a:schemeClr val="tx2">
            <a:lumMod val="10000"/>
            <a:lumOff val="90000"/>
          </a:schemeClr>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66675</xdr:colOff>
      <xdr:row>5</xdr:row>
      <xdr:rowOff>171449</xdr:rowOff>
    </xdr:from>
    <xdr:to>
      <xdr:col>24</xdr:col>
      <xdr:colOff>114300</xdr:colOff>
      <xdr:row>17</xdr:row>
      <xdr:rowOff>76200</xdr:rowOff>
    </xdr:to>
    <xdr:sp macro="" textlink="">
      <xdr:nvSpPr>
        <xdr:cNvPr id="7" name="Rectangle: Rounded Corners 6">
          <a:extLst>
            <a:ext uri="{FF2B5EF4-FFF2-40B4-BE49-F238E27FC236}">
              <a16:creationId xmlns:a16="http://schemas.microsoft.com/office/drawing/2014/main" id="{C031CB62-E296-8644-8F83-FFBF0B065FBA}"/>
            </a:ext>
          </a:extLst>
        </xdr:cNvPr>
        <xdr:cNvSpPr/>
      </xdr:nvSpPr>
      <xdr:spPr>
        <a:xfrm>
          <a:off x="11039475" y="1123949"/>
          <a:ext cx="3705225" cy="2190751"/>
        </a:xfrm>
        <a:prstGeom prst="roundRect">
          <a:avLst/>
        </a:prstGeom>
        <a:solidFill>
          <a:schemeClr val="bg1"/>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57150</xdr:colOff>
      <xdr:row>18</xdr:row>
      <xdr:rowOff>19050</xdr:rowOff>
    </xdr:from>
    <xdr:to>
      <xdr:col>24</xdr:col>
      <xdr:colOff>161925</xdr:colOff>
      <xdr:row>29</xdr:row>
      <xdr:rowOff>152399</xdr:rowOff>
    </xdr:to>
    <xdr:sp macro="" textlink="">
      <xdr:nvSpPr>
        <xdr:cNvPr id="8" name="Rectangle: Rounded Corners 7">
          <a:extLst>
            <a:ext uri="{FF2B5EF4-FFF2-40B4-BE49-F238E27FC236}">
              <a16:creationId xmlns:a16="http://schemas.microsoft.com/office/drawing/2014/main" id="{9650C680-D229-445E-8983-B54AA89B8C51}"/>
            </a:ext>
          </a:extLst>
        </xdr:cNvPr>
        <xdr:cNvSpPr/>
      </xdr:nvSpPr>
      <xdr:spPr>
        <a:xfrm>
          <a:off x="11029950" y="3448050"/>
          <a:ext cx="3762375" cy="2228849"/>
        </a:xfrm>
        <a:prstGeom prst="roundRect">
          <a:avLst/>
        </a:prstGeom>
        <a:solidFill>
          <a:schemeClr val="bg1"/>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200025</xdr:colOff>
      <xdr:row>5</xdr:row>
      <xdr:rowOff>180975</xdr:rowOff>
    </xdr:from>
    <xdr:to>
      <xdr:col>17</xdr:col>
      <xdr:colOff>485775</xdr:colOff>
      <xdr:row>17</xdr:row>
      <xdr:rowOff>152400</xdr:rowOff>
    </xdr:to>
    <xdr:sp macro="" textlink="">
      <xdr:nvSpPr>
        <xdr:cNvPr id="9" name="Rectangle: Rounded Corners 8">
          <a:extLst>
            <a:ext uri="{FF2B5EF4-FFF2-40B4-BE49-F238E27FC236}">
              <a16:creationId xmlns:a16="http://schemas.microsoft.com/office/drawing/2014/main" id="{21DD646C-E607-F4FE-4442-C9A0C0FEFE2C}"/>
            </a:ext>
          </a:extLst>
        </xdr:cNvPr>
        <xdr:cNvSpPr/>
      </xdr:nvSpPr>
      <xdr:spPr>
        <a:xfrm>
          <a:off x="6905625" y="1133475"/>
          <a:ext cx="3943350" cy="2257425"/>
        </a:xfrm>
        <a:prstGeom prst="roundRect">
          <a:avLst/>
        </a:prstGeom>
        <a:solidFill>
          <a:schemeClr val="bg1"/>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219075</xdr:colOff>
      <xdr:row>18</xdr:row>
      <xdr:rowOff>142875</xdr:rowOff>
    </xdr:from>
    <xdr:to>
      <xdr:col>17</xdr:col>
      <xdr:colOff>419100</xdr:colOff>
      <xdr:row>30</xdr:row>
      <xdr:rowOff>19050</xdr:rowOff>
    </xdr:to>
    <xdr:sp macro="" textlink="">
      <xdr:nvSpPr>
        <xdr:cNvPr id="10" name="Rectangle: Rounded Corners 9">
          <a:extLst>
            <a:ext uri="{FF2B5EF4-FFF2-40B4-BE49-F238E27FC236}">
              <a16:creationId xmlns:a16="http://schemas.microsoft.com/office/drawing/2014/main" id="{65006939-5DD2-DAD8-DD13-DD92CD7F6D57}"/>
            </a:ext>
          </a:extLst>
        </xdr:cNvPr>
        <xdr:cNvSpPr/>
      </xdr:nvSpPr>
      <xdr:spPr>
        <a:xfrm>
          <a:off x="6924675" y="3571875"/>
          <a:ext cx="3857625" cy="2162175"/>
        </a:xfrm>
        <a:prstGeom prst="roundRect">
          <a:avLst/>
        </a:prstGeom>
        <a:solidFill>
          <a:schemeClr val="bg1"/>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7</xdr:row>
      <xdr:rowOff>152400</xdr:rowOff>
    </xdr:from>
    <xdr:to>
      <xdr:col>5</xdr:col>
      <xdr:colOff>200025</xdr:colOff>
      <xdr:row>12</xdr:row>
      <xdr:rowOff>57150</xdr:rowOff>
    </xdr:to>
    <xdr:sp macro="" textlink="">
      <xdr:nvSpPr>
        <xdr:cNvPr id="11" name="Rectangle: Rounded Corners 10">
          <a:extLst>
            <a:ext uri="{FF2B5EF4-FFF2-40B4-BE49-F238E27FC236}">
              <a16:creationId xmlns:a16="http://schemas.microsoft.com/office/drawing/2014/main" id="{0C87E55F-D3C8-6AE5-9B33-5730D8740ACB}"/>
            </a:ext>
          </a:extLst>
        </xdr:cNvPr>
        <xdr:cNvSpPr/>
      </xdr:nvSpPr>
      <xdr:spPr>
        <a:xfrm>
          <a:off x="371475" y="1485900"/>
          <a:ext cx="2876550" cy="857250"/>
        </a:xfrm>
        <a:prstGeom prst="roundRect">
          <a:avLst/>
        </a:prstGeom>
        <a:solidFill>
          <a:schemeClr val="tx2">
            <a:lumMod val="10000"/>
            <a:lumOff val="90000"/>
          </a:schemeClr>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419100</xdr:colOff>
      <xdr:row>14</xdr:row>
      <xdr:rowOff>28575</xdr:rowOff>
    </xdr:from>
    <xdr:to>
      <xdr:col>5</xdr:col>
      <xdr:colOff>247650</xdr:colOff>
      <xdr:row>18</xdr:row>
      <xdr:rowOff>123825</xdr:rowOff>
    </xdr:to>
    <xdr:sp macro="" textlink="">
      <xdr:nvSpPr>
        <xdr:cNvPr id="14" name="Rectangle: Rounded Corners 13">
          <a:extLst>
            <a:ext uri="{FF2B5EF4-FFF2-40B4-BE49-F238E27FC236}">
              <a16:creationId xmlns:a16="http://schemas.microsoft.com/office/drawing/2014/main" id="{808985D0-60B1-BDC1-627F-81DC821D6807}"/>
            </a:ext>
          </a:extLst>
        </xdr:cNvPr>
        <xdr:cNvSpPr/>
      </xdr:nvSpPr>
      <xdr:spPr>
        <a:xfrm>
          <a:off x="419100" y="2695575"/>
          <a:ext cx="2876550" cy="857250"/>
        </a:xfrm>
        <a:prstGeom prst="roundRect">
          <a:avLst/>
        </a:prstGeom>
        <a:solidFill>
          <a:schemeClr val="tx2">
            <a:lumMod val="10000"/>
            <a:lumOff val="90000"/>
          </a:schemeClr>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228600</xdr:colOff>
      <xdr:row>5</xdr:row>
      <xdr:rowOff>171450</xdr:rowOff>
    </xdr:from>
    <xdr:to>
      <xdr:col>10</xdr:col>
      <xdr:colOff>219076</xdr:colOff>
      <xdr:row>13</xdr:row>
      <xdr:rowOff>85725</xdr:rowOff>
    </xdr:to>
    <xdr:sp macro="" textlink="">
      <xdr:nvSpPr>
        <xdr:cNvPr id="19" name="Rectangle: Rounded Corners 18">
          <a:extLst>
            <a:ext uri="{FF2B5EF4-FFF2-40B4-BE49-F238E27FC236}">
              <a16:creationId xmlns:a16="http://schemas.microsoft.com/office/drawing/2014/main" id="{D0D1C446-05D0-1F74-E625-054FC06035E5}"/>
            </a:ext>
          </a:extLst>
        </xdr:cNvPr>
        <xdr:cNvSpPr/>
      </xdr:nvSpPr>
      <xdr:spPr>
        <a:xfrm>
          <a:off x="3886200" y="1123950"/>
          <a:ext cx="2428876" cy="1438275"/>
        </a:xfrm>
        <a:prstGeom prst="roundRect">
          <a:avLst/>
        </a:prstGeom>
        <a:solidFill>
          <a:schemeClr val="tx2">
            <a:lumMod val="10000"/>
            <a:lumOff val="90000"/>
          </a:schemeClr>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276225</xdr:colOff>
      <xdr:row>13</xdr:row>
      <xdr:rowOff>180975</xdr:rowOff>
    </xdr:from>
    <xdr:to>
      <xdr:col>10</xdr:col>
      <xdr:colOff>266701</xdr:colOff>
      <xdr:row>21</xdr:row>
      <xdr:rowOff>95250</xdr:rowOff>
    </xdr:to>
    <xdr:sp macro="" textlink="">
      <xdr:nvSpPr>
        <xdr:cNvPr id="20" name="Rectangle: Rounded Corners 19">
          <a:extLst>
            <a:ext uri="{FF2B5EF4-FFF2-40B4-BE49-F238E27FC236}">
              <a16:creationId xmlns:a16="http://schemas.microsoft.com/office/drawing/2014/main" id="{F64363C6-AF53-67C3-B27A-B31D0778F491}"/>
            </a:ext>
          </a:extLst>
        </xdr:cNvPr>
        <xdr:cNvSpPr/>
      </xdr:nvSpPr>
      <xdr:spPr>
        <a:xfrm>
          <a:off x="3933825" y="2657475"/>
          <a:ext cx="2428876" cy="1438275"/>
        </a:xfrm>
        <a:prstGeom prst="roundRect">
          <a:avLst/>
        </a:prstGeom>
        <a:solidFill>
          <a:schemeClr val="tx2">
            <a:lumMod val="10000"/>
            <a:lumOff val="90000"/>
          </a:schemeClr>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266700</xdr:colOff>
      <xdr:row>21</xdr:row>
      <xdr:rowOff>152400</xdr:rowOff>
    </xdr:from>
    <xdr:to>
      <xdr:col>10</xdr:col>
      <xdr:colOff>257176</xdr:colOff>
      <xdr:row>29</xdr:row>
      <xdr:rowOff>66675</xdr:rowOff>
    </xdr:to>
    <xdr:sp macro="" textlink="">
      <xdr:nvSpPr>
        <xdr:cNvPr id="21" name="Rectangle: Rounded Corners 20">
          <a:extLst>
            <a:ext uri="{FF2B5EF4-FFF2-40B4-BE49-F238E27FC236}">
              <a16:creationId xmlns:a16="http://schemas.microsoft.com/office/drawing/2014/main" id="{3E16E453-3170-0D47-CA6D-AA679F8AFF2B}"/>
            </a:ext>
          </a:extLst>
        </xdr:cNvPr>
        <xdr:cNvSpPr/>
      </xdr:nvSpPr>
      <xdr:spPr>
        <a:xfrm>
          <a:off x="3924300" y="4152900"/>
          <a:ext cx="2428876" cy="1438275"/>
        </a:xfrm>
        <a:prstGeom prst="roundRect">
          <a:avLst/>
        </a:prstGeom>
        <a:solidFill>
          <a:schemeClr val="tx2">
            <a:lumMod val="10000"/>
            <a:lumOff val="90000"/>
          </a:schemeClr>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219076</xdr:colOff>
      <xdr:row>20</xdr:row>
      <xdr:rowOff>180976</xdr:rowOff>
    </xdr:from>
    <xdr:to>
      <xdr:col>6</xdr:col>
      <xdr:colOff>47626</xdr:colOff>
      <xdr:row>28</xdr:row>
      <xdr:rowOff>142876</xdr:rowOff>
    </xdr:to>
    <xdr:sp macro="" textlink="">
      <xdr:nvSpPr>
        <xdr:cNvPr id="23" name="Rectangle: Rounded Corners 22">
          <a:extLst>
            <a:ext uri="{FF2B5EF4-FFF2-40B4-BE49-F238E27FC236}">
              <a16:creationId xmlns:a16="http://schemas.microsoft.com/office/drawing/2014/main" id="{6F72965D-0216-BDFB-ADB1-81E062FEB033}"/>
            </a:ext>
          </a:extLst>
        </xdr:cNvPr>
        <xdr:cNvSpPr/>
      </xdr:nvSpPr>
      <xdr:spPr>
        <a:xfrm>
          <a:off x="219076" y="3990976"/>
          <a:ext cx="3486150" cy="1485900"/>
        </a:xfrm>
        <a:prstGeom prst="roundRect">
          <a:avLst/>
        </a:prstGeom>
        <a:solidFill>
          <a:schemeClr val="tx2">
            <a:lumMod val="10000"/>
            <a:lumOff val="90000"/>
          </a:schemeClr>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247650</xdr:colOff>
      <xdr:row>6</xdr:row>
      <xdr:rowOff>104774</xdr:rowOff>
    </xdr:from>
    <xdr:to>
      <xdr:col>23</xdr:col>
      <xdr:colOff>495299</xdr:colOff>
      <xdr:row>16</xdr:row>
      <xdr:rowOff>28575</xdr:rowOff>
    </xdr:to>
    <xdr:graphicFrame macro="">
      <xdr:nvGraphicFramePr>
        <xdr:cNvPr id="24" name="Chart 23">
          <a:extLst>
            <a:ext uri="{FF2B5EF4-FFF2-40B4-BE49-F238E27FC236}">
              <a16:creationId xmlns:a16="http://schemas.microsoft.com/office/drawing/2014/main" id="{4FB56DD5-E348-4DD4-917D-1A848AB73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371476</xdr:colOff>
      <xdr:row>6</xdr:row>
      <xdr:rowOff>85724</xdr:rowOff>
    </xdr:from>
    <xdr:to>
      <xdr:col>17</xdr:col>
      <xdr:colOff>285750</xdr:colOff>
      <xdr:row>16</xdr:row>
      <xdr:rowOff>104775</xdr:rowOff>
    </xdr:to>
    <xdr:graphicFrame macro="">
      <xdr:nvGraphicFramePr>
        <xdr:cNvPr id="25" name="Chart 24">
          <a:extLst>
            <a:ext uri="{FF2B5EF4-FFF2-40B4-BE49-F238E27FC236}">
              <a16:creationId xmlns:a16="http://schemas.microsoft.com/office/drawing/2014/main" id="{C680E0BA-6D13-46F9-8E9D-00C9F3454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390524</xdr:colOff>
      <xdr:row>20</xdr:row>
      <xdr:rowOff>142876</xdr:rowOff>
    </xdr:from>
    <xdr:to>
      <xdr:col>17</xdr:col>
      <xdr:colOff>266699</xdr:colOff>
      <xdr:row>29</xdr:row>
      <xdr:rowOff>66676</xdr:rowOff>
    </xdr:to>
    <xdr:graphicFrame macro="">
      <xdr:nvGraphicFramePr>
        <xdr:cNvPr id="26" name="Chart 25">
          <a:extLst>
            <a:ext uri="{FF2B5EF4-FFF2-40B4-BE49-F238E27FC236}">
              <a16:creationId xmlns:a16="http://schemas.microsoft.com/office/drawing/2014/main" id="{F3503508-7F3B-4AA5-80C8-4A941683D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457201</xdr:colOff>
      <xdr:row>19</xdr:row>
      <xdr:rowOff>19050</xdr:rowOff>
    </xdr:from>
    <xdr:to>
      <xdr:col>16</xdr:col>
      <xdr:colOff>228601</xdr:colOff>
      <xdr:row>20</xdr:row>
      <xdr:rowOff>76200</xdr:rowOff>
    </xdr:to>
    <xdr:sp macro="" textlink="">
      <xdr:nvSpPr>
        <xdr:cNvPr id="27" name="TextBox 26">
          <a:extLst>
            <a:ext uri="{FF2B5EF4-FFF2-40B4-BE49-F238E27FC236}">
              <a16:creationId xmlns:a16="http://schemas.microsoft.com/office/drawing/2014/main" id="{7E6AD71D-07DA-23D8-D3FD-746B0BF7C8F0}"/>
            </a:ext>
          </a:extLst>
        </xdr:cNvPr>
        <xdr:cNvSpPr txBox="1"/>
      </xdr:nvSpPr>
      <xdr:spPr>
        <a:xfrm>
          <a:off x="7772401" y="3638550"/>
          <a:ext cx="22098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solidFill>
                <a:schemeClr val="accent1"/>
              </a:solidFill>
            </a:rPr>
            <a:t>Actual vs Target by Region</a:t>
          </a:r>
        </a:p>
      </xdr:txBody>
    </xdr:sp>
    <xdr:clientData/>
  </xdr:twoCellAnchor>
  <xdr:twoCellAnchor>
    <xdr:from>
      <xdr:col>18</xdr:col>
      <xdr:colOff>295275</xdr:colOff>
      <xdr:row>18</xdr:row>
      <xdr:rowOff>171450</xdr:rowOff>
    </xdr:from>
    <xdr:to>
      <xdr:col>23</xdr:col>
      <xdr:colOff>485775</xdr:colOff>
      <xdr:row>28</xdr:row>
      <xdr:rowOff>180976</xdr:rowOff>
    </xdr:to>
    <xdr:graphicFrame macro="">
      <xdr:nvGraphicFramePr>
        <xdr:cNvPr id="28" name="Chart 27">
          <a:extLst>
            <a:ext uri="{FF2B5EF4-FFF2-40B4-BE49-F238E27FC236}">
              <a16:creationId xmlns:a16="http://schemas.microsoft.com/office/drawing/2014/main" id="{9456A291-070F-4236-BA33-FD2CF181C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561975</xdr:colOff>
      <xdr:row>1</xdr:row>
      <xdr:rowOff>28575</xdr:rowOff>
    </xdr:from>
    <xdr:to>
      <xdr:col>15</xdr:col>
      <xdr:colOff>381000</xdr:colOff>
      <xdr:row>4</xdr:row>
      <xdr:rowOff>19050</xdr:rowOff>
    </xdr:to>
    <xdr:sp macro="" textlink="">
      <xdr:nvSpPr>
        <xdr:cNvPr id="29" name="TextBox 28">
          <a:extLst>
            <a:ext uri="{FF2B5EF4-FFF2-40B4-BE49-F238E27FC236}">
              <a16:creationId xmlns:a16="http://schemas.microsoft.com/office/drawing/2014/main" id="{64603A21-3566-2CB1-4FD6-98125C9AFCD7}"/>
            </a:ext>
          </a:extLst>
        </xdr:cNvPr>
        <xdr:cNvSpPr txBox="1"/>
      </xdr:nvSpPr>
      <xdr:spPr>
        <a:xfrm>
          <a:off x="4829175" y="219075"/>
          <a:ext cx="469582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1">
              <a:solidFill>
                <a:schemeClr val="accent1"/>
              </a:solidFill>
              <a:latin typeface="+mj-lt"/>
            </a:rPr>
            <a:t>Actual Sales VS Targets Sales</a:t>
          </a:r>
        </a:p>
      </xdr:txBody>
    </xdr:sp>
    <xdr:clientData/>
  </xdr:twoCellAnchor>
  <xdr:twoCellAnchor>
    <xdr:from>
      <xdr:col>6</xdr:col>
      <xdr:colOff>400050</xdr:colOff>
      <xdr:row>6</xdr:row>
      <xdr:rowOff>104775</xdr:rowOff>
    </xdr:from>
    <xdr:to>
      <xdr:col>10</xdr:col>
      <xdr:colOff>104775</xdr:colOff>
      <xdr:row>8</xdr:row>
      <xdr:rowOff>152400</xdr:rowOff>
    </xdr:to>
    <xdr:sp macro="" textlink="">
      <xdr:nvSpPr>
        <xdr:cNvPr id="30" name="TextBox 29">
          <a:extLst>
            <a:ext uri="{FF2B5EF4-FFF2-40B4-BE49-F238E27FC236}">
              <a16:creationId xmlns:a16="http://schemas.microsoft.com/office/drawing/2014/main" id="{56BFED95-906E-B58B-5CFB-47279BF304E3}"/>
            </a:ext>
          </a:extLst>
        </xdr:cNvPr>
        <xdr:cNvSpPr txBox="1"/>
      </xdr:nvSpPr>
      <xdr:spPr>
        <a:xfrm>
          <a:off x="4057650" y="1247775"/>
          <a:ext cx="21431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1" u="sng">
              <a:solidFill>
                <a:schemeClr val="accent1"/>
              </a:solidFill>
            </a:rPr>
            <a:t>Total Actual Revenue</a:t>
          </a:r>
        </a:p>
      </xdr:txBody>
    </xdr:sp>
    <xdr:clientData/>
  </xdr:twoCellAnchor>
  <xdr:twoCellAnchor>
    <xdr:from>
      <xdr:col>6</xdr:col>
      <xdr:colOff>457200</xdr:colOff>
      <xdr:row>14</xdr:row>
      <xdr:rowOff>152400</xdr:rowOff>
    </xdr:from>
    <xdr:to>
      <xdr:col>10</xdr:col>
      <xdr:colOff>161925</xdr:colOff>
      <xdr:row>17</xdr:row>
      <xdr:rowOff>9525</xdr:rowOff>
    </xdr:to>
    <xdr:sp macro="" textlink="">
      <xdr:nvSpPr>
        <xdr:cNvPr id="31" name="TextBox 30">
          <a:extLst>
            <a:ext uri="{FF2B5EF4-FFF2-40B4-BE49-F238E27FC236}">
              <a16:creationId xmlns:a16="http://schemas.microsoft.com/office/drawing/2014/main" id="{46C11CE7-A326-4038-BF15-0ADE4A9D369D}"/>
            </a:ext>
          </a:extLst>
        </xdr:cNvPr>
        <xdr:cNvSpPr txBox="1"/>
      </xdr:nvSpPr>
      <xdr:spPr>
        <a:xfrm>
          <a:off x="4114800" y="2819400"/>
          <a:ext cx="21431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1" u="sng">
              <a:solidFill>
                <a:schemeClr val="accent1"/>
              </a:solidFill>
            </a:rPr>
            <a:t>Total Target Revenue</a:t>
          </a:r>
        </a:p>
      </xdr:txBody>
    </xdr:sp>
    <xdr:clientData/>
  </xdr:twoCellAnchor>
  <xdr:twoCellAnchor>
    <xdr:from>
      <xdr:col>6</xdr:col>
      <xdr:colOff>466725</xdr:colOff>
      <xdr:row>22</xdr:row>
      <xdr:rowOff>152400</xdr:rowOff>
    </xdr:from>
    <xdr:to>
      <xdr:col>10</xdr:col>
      <xdr:colOff>171450</xdr:colOff>
      <xdr:row>25</xdr:row>
      <xdr:rowOff>9525</xdr:rowOff>
    </xdr:to>
    <xdr:sp macro="" textlink="">
      <xdr:nvSpPr>
        <xdr:cNvPr id="32" name="TextBox 31">
          <a:extLst>
            <a:ext uri="{FF2B5EF4-FFF2-40B4-BE49-F238E27FC236}">
              <a16:creationId xmlns:a16="http://schemas.microsoft.com/office/drawing/2014/main" id="{34DB1625-4C4F-497D-8D40-690BE4A3B07D}"/>
            </a:ext>
          </a:extLst>
        </xdr:cNvPr>
        <xdr:cNvSpPr txBox="1"/>
      </xdr:nvSpPr>
      <xdr:spPr>
        <a:xfrm>
          <a:off x="4124325" y="4343400"/>
          <a:ext cx="21431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1" u="sng">
              <a:solidFill>
                <a:schemeClr val="accent1"/>
              </a:solidFill>
              <a:latin typeface="+mn-lt"/>
              <a:ea typeface="+mn-ea"/>
              <a:cs typeface="+mn-cs"/>
            </a:rPr>
            <a:t>Total Variance</a:t>
          </a:r>
        </a:p>
      </xdr:txBody>
    </xdr:sp>
    <xdr:clientData/>
  </xdr:twoCellAnchor>
  <xdr:twoCellAnchor>
    <xdr:from>
      <xdr:col>1</xdr:col>
      <xdr:colOff>219076</xdr:colOff>
      <xdr:row>21</xdr:row>
      <xdr:rowOff>133351</xdr:rowOff>
    </xdr:from>
    <xdr:to>
      <xdr:col>4</xdr:col>
      <xdr:colOff>533401</xdr:colOff>
      <xdr:row>23</xdr:row>
      <xdr:rowOff>180976</xdr:rowOff>
    </xdr:to>
    <xdr:sp macro="" textlink="">
      <xdr:nvSpPr>
        <xdr:cNvPr id="34" name="TextBox 33">
          <a:extLst>
            <a:ext uri="{FF2B5EF4-FFF2-40B4-BE49-F238E27FC236}">
              <a16:creationId xmlns:a16="http://schemas.microsoft.com/office/drawing/2014/main" id="{BA96A186-86D5-4FB1-BC77-1E487D332914}"/>
            </a:ext>
          </a:extLst>
        </xdr:cNvPr>
        <xdr:cNvSpPr txBox="1"/>
      </xdr:nvSpPr>
      <xdr:spPr>
        <a:xfrm>
          <a:off x="828676" y="4133851"/>
          <a:ext cx="214312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u="sng">
              <a:solidFill>
                <a:schemeClr val="accent1"/>
              </a:solidFill>
              <a:latin typeface="+mn-lt"/>
              <a:ea typeface="+mn-ea"/>
              <a:cs typeface="+mn-cs"/>
            </a:rPr>
            <a:t> % </a:t>
          </a:r>
          <a:r>
            <a:rPr lang="en-US" sz="1600" b="1" i="1" u="sng">
              <a:solidFill>
                <a:schemeClr val="accent1"/>
              </a:solidFill>
              <a:latin typeface="+mn-lt"/>
              <a:ea typeface="+mn-ea"/>
              <a:cs typeface="+mn-cs"/>
            </a:rPr>
            <a:t>Achievement</a:t>
          </a:r>
        </a:p>
      </xdr:txBody>
    </xdr:sp>
    <xdr:clientData/>
  </xdr:twoCellAnchor>
  <xdr:twoCellAnchor>
    <xdr:from>
      <xdr:col>8</xdr:col>
      <xdr:colOff>28576</xdr:colOff>
      <xdr:row>9</xdr:row>
      <xdr:rowOff>38101</xdr:rowOff>
    </xdr:from>
    <xdr:to>
      <xdr:col>10</xdr:col>
      <xdr:colOff>133350</xdr:colOff>
      <xdr:row>11</xdr:row>
      <xdr:rowOff>85725</xdr:rowOff>
    </xdr:to>
    <xdr:sp macro="" textlink="Sheet2!$D$50">
      <xdr:nvSpPr>
        <xdr:cNvPr id="35" name="TextBox 34">
          <a:extLst>
            <a:ext uri="{FF2B5EF4-FFF2-40B4-BE49-F238E27FC236}">
              <a16:creationId xmlns:a16="http://schemas.microsoft.com/office/drawing/2014/main" id="{E90C428B-3320-9979-E91A-8788AD1F8C68}"/>
            </a:ext>
          </a:extLst>
        </xdr:cNvPr>
        <xdr:cNvSpPr txBox="1"/>
      </xdr:nvSpPr>
      <xdr:spPr>
        <a:xfrm>
          <a:off x="4905376" y="1752601"/>
          <a:ext cx="1323974" cy="428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E41213-A104-4DE2-A66D-6544733E9028}" type="TxLink">
            <a:rPr lang="en-US" sz="1800" b="1" i="0" u="none" strike="noStrike">
              <a:solidFill>
                <a:schemeClr val="accent2"/>
              </a:solidFill>
              <a:latin typeface="Aptos Narrow"/>
            </a:rPr>
            <a:pPr/>
            <a:t>2268400</a:t>
          </a:fld>
          <a:endParaRPr lang="en-US" sz="1800" b="1">
            <a:solidFill>
              <a:schemeClr val="accent2"/>
            </a:solidFill>
          </a:endParaRPr>
        </a:p>
      </xdr:txBody>
    </xdr:sp>
    <xdr:clientData/>
  </xdr:twoCellAnchor>
  <xdr:twoCellAnchor>
    <xdr:from>
      <xdr:col>8</xdr:col>
      <xdr:colOff>66675</xdr:colOff>
      <xdr:row>17</xdr:row>
      <xdr:rowOff>76200</xdr:rowOff>
    </xdr:from>
    <xdr:to>
      <xdr:col>10</xdr:col>
      <xdr:colOff>409575</xdr:colOff>
      <xdr:row>19</xdr:row>
      <xdr:rowOff>142875</xdr:rowOff>
    </xdr:to>
    <xdr:sp macro="" textlink="Sheet2!$E$50">
      <xdr:nvSpPr>
        <xdr:cNvPr id="36" name="TextBox 35">
          <a:extLst>
            <a:ext uri="{FF2B5EF4-FFF2-40B4-BE49-F238E27FC236}">
              <a16:creationId xmlns:a16="http://schemas.microsoft.com/office/drawing/2014/main" id="{F6F64B9A-B652-4F30-FEB1-31DA83D3E787}"/>
            </a:ext>
          </a:extLst>
        </xdr:cNvPr>
        <xdr:cNvSpPr txBox="1"/>
      </xdr:nvSpPr>
      <xdr:spPr>
        <a:xfrm>
          <a:off x="4943475" y="3314700"/>
          <a:ext cx="15621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B4A9F21-8E91-4154-8094-D8C29B9F4180}" type="TxLink">
            <a:rPr lang="en-US" sz="1800" b="1" i="0" u="none" strike="noStrike">
              <a:solidFill>
                <a:schemeClr val="accent2"/>
              </a:solidFill>
              <a:latin typeface="Aptos Narrow"/>
              <a:ea typeface="+mn-ea"/>
              <a:cs typeface="+mn-cs"/>
            </a:rPr>
            <a:pPr marL="0" indent="0"/>
            <a:t>2210400</a:t>
          </a:fld>
          <a:endParaRPr lang="en-US" sz="1800" b="1" i="0" u="none" strike="noStrike">
            <a:solidFill>
              <a:schemeClr val="accent2"/>
            </a:solidFill>
            <a:latin typeface="Aptos Narrow"/>
            <a:ea typeface="+mn-ea"/>
            <a:cs typeface="+mn-cs"/>
          </a:endParaRPr>
        </a:p>
      </xdr:txBody>
    </xdr:sp>
    <xdr:clientData/>
  </xdr:twoCellAnchor>
  <xdr:twoCellAnchor>
    <xdr:from>
      <xdr:col>7</xdr:col>
      <xdr:colOff>123825</xdr:colOff>
      <xdr:row>26</xdr:row>
      <xdr:rowOff>0</xdr:rowOff>
    </xdr:from>
    <xdr:to>
      <xdr:col>10</xdr:col>
      <xdr:colOff>228600</xdr:colOff>
      <xdr:row>27</xdr:row>
      <xdr:rowOff>161925</xdr:rowOff>
    </xdr:to>
    <xdr:sp macro="" textlink="Sheet2!$F$50">
      <xdr:nvSpPr>
        <xdr:cNvPr id="37" name="TextBox 36">
          <a:extLst>
            <a:ext uri="{FF2B5EF4-FFF2-40B4-BE49-F238E27FC236}">
              <a16:creationId xmlns:a16="http://schemas.microsoft.com/office/drawing/2014/main" id="{9D0C5513-9470-4FFA-915A-1CEA6A180882}"/>
            </a:ext>
          </a:extLst>
        </xdr:cNvPr>
        <xdr:cNvSpPr txBox="1"/>
      </xdr:nvSpPr>
      <xdr:spPr>
        <a:xfrm>
          <a:off x="4391025" y="4953000"/>
          <a:ext cx="19335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C5CB6FA-6F86-49C9-99E8-F5D9E4E8B295}" type="TxLink">
            <a:rPr lang="en-US" sz="1800" b="1" i="0" u="none" strike="noStrike">
              <a:solidFill>
                <a:schemeClr val="accent2"/>
              </a:solidFill>
              <a:latin typeface="Aptos Narrow"/>
              <a:ea typeface="+mn-ea"/>
              <a:cs typeface="+mn-cs"/>
            </a:rPr>
            <a:pPr marL="0" indent="0" algn="ctr"/>
            <a:t>58000</a:t>
          </a:fld>
          <a:endParaRPr lang="en-US" sz="1800" b="1" i="0" u="none" strike="noStrike">
            <a:solidFill>
              <a:schemeClr val="accent2"/>
            </a:solidFill>
            <a:latin typeface="Aptos Narrow"/>
            <a:ea typeface="+mn-ea"/>
            <a:cs typeface="+mn-cs"/>
          </a:endParaRPr>
        </a:p>
      </xdr:txBody>
    </xdr:sp>
    <xdr:clientData/>
  </xdr:twoCellAnchor>
  <xdr:twoCellAnchor>
    <xdr:from>
      <xdr:col>2</xdr:col>
      <xdr:colOff>66676</xdr:colOff>
      <xdr:row>24</xdr:row>
      <xdr:rowOff>123825</xdr:rowOff>
    </xdr:from>
    <xdr:to>
      <xdr:col>5</xdr:col>
      <xdr:colOff>38100</xdr:colOff>
      <xdr:row>28</xdr:row>
      <xdr:rowOff>19050</xdr:rowOff>
    </xdr:to>
    <xdr:sp macro="" textlink="Sheet2!$G$50">
      <xdr:nvSpPr>
        <xdr:cNvPr id="38" name="TextBox 37">
          <a:extLst>
            <a:ext uri="{FF2B5EF4-FFF2-40B4-BE49-F238E27FC236}">
              <a16:creationId xmlns:a16="http://schemas.microsoft.com/office/drawing/2014/main" id="{1DE4909D-AE85-2F6C-C6FD-670BEE7C6835}"/>
            </a:ext>
          </a:extLst>
        </xdr:cNvPr>
        <xdr:cNvSpPr txBox="1"/>
      </xdr:nvSpPr>
      <xdr:spPr>
        <a:xfrm>
          <a:off x="1285876" y="4695825"/>
          <a:ext cx="1800224"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7A0FAC0-295D-4449-AB40-31DE2AFCDA84}" type="TxLink">
            <a:rPr lang="en-US" sz="1800" b="1" i="0" u="none" strike="noStrike">
              <a:solidFill>
                <a:schemeClr val="accent6"/>
              </a:solidFill>
              <a:latin typeface="Aptos Narrow"/>
              <a:ea typeface="+mn-ea"/>
              <a:cs typeface="+mn-cs"/>
            </a:rPr>
            <a:pPr marL="0" indent="0" algn="ctr"/>
            <a:t>103%</a:t>
          </a:fld>
          <a:endParaRPr lang="en-US" sz="1800" b="1" i="0" u="none" strike="noStrike">
            <a:solidFill>
              <a:schemeClr val="accent6"/>
            </a:solidFill>
            <a:latin typeface="Aptos Narrow"/>
            <a:ea typeface="+mn-ea"/>
            <a:cs typeface="+mn-cs"/>
          </a:endParaRPr>
        </a:p>
      </xdr:txBody>
    </xdr:sp>
    <xdr:clientData/>
  </xdr:twoCellAnchor>
  <xdr:twoCellAnchor editAs="oneCell">
    <xdr:from>
      <xdr:col>0</xdr:col>
      <xdr:colOff>514350</xdr:colOff>
      <xdr:row>8</xdr:row>
      <xdr:rowOff>57150</xdr:rowOff>
    </xdr:from>
    <xdr:to>
      <xdr:col>4</xdr:col>
      <xdr:colOff>552450</xdr:colOff>
      <xdr:row>11</xdr:row>
      <xdr:rowOff>152400</xdr:rowOff>
    </xdr:to>
    <mc:AlternateContent xmlns:mc="http://schemas.openxmlformats.org/markup-compatibility/2006" xmlns:a14="http://schemas.microsoft.com/office/drawing/2010/main">
      <mc:Choice Requires="a14">
        <xdr:graphicFrame macro="">
          <xdr:nvGraphicFramePr>
            <xdr:cNvPr id="39" name="Region">
              <a:extLst>
                <a:ext uri="{FF2B5EF4-FFF2-40B4-BE49-F238E27FC236}">
                  <a16:creationId xmlns:a16="http://schemas.microsoft.com/office/drawing/2014/main" id="{610BE33F-F382-3223-1DE5-3624189DEE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4350" y="1581150"/>
              <a:ext cx="247650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504824</xdr:colOff>
      <xdr:row>14</xdr:row>
      <xdr:rowOff>76200</xdr:rowOff>
    </xdr:from>
    <xdr:to>
      <xdr:col>5</xdr:col>
      <xdr:colOff>76199</xdr:colOff>
      <xdr:row>18</xdr:row>
      <xdr:rowOff>76200</xdr:rowOff>
    </xdr:to>
    <mc:AlternateContent xmlns:mc="http://schemas.openxmlformats.org/markup-compatibility/2006" xmlns:a14="http://schemas.microsoft.com/office/drawing/2010/main">
      <mc:Choice Requires="a14">
        <xdr:graphicFrame macro="">
          <xdr:nvGraphicFramePr>
            <xdr:cNvPr id="40" name="Month">
              <a:extLst>
                <a:ext uri="{FF2B5EF4-FFF2-40B4-BE49-F238E27FC236}">
                  <a16:creationId xmlns:a16="http://schemas.microsoft.com/office/drawing/2014/main" id="{D5BF7CCE-9F5F-DBE0-5592-7FD7A6B60A6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04824" y="2743200"/>
              <a:ext cx="2619375"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533400</xdr:colOff>
      <xdr:row>8</xdr:row>
      <xdr:rowOff>152400</xdr:rowOff>
    </xdr:from>
    <xdr:to>
      <xdr:col>7</xdr:col>
      <xdr:colOff>485775</xdr:colOff>
      <xdr:row>11</xdr:row>
      <xdr:rowOff>142875</xdr:rowOff>
    </xdr:to>
    <xdr:pic>
      <xdr:nvPicPr>
        <xdr:cNvPr id="45" name="Picture 44" descr="Bar chart outline">
          <a:extLst>
            <a:ext uri="{FF2B5EF4-FFF2-40B4-BE49-F238E27FC236}">
              <a16:creationId xmlns:a16="http://schemas.microsoft.com/office/drawing/2014/main" id="{BFD345E8-2B44-1E57-AB8F-1A062B6951CD}"/>
            </a:ext>
          </a:extLst>
        </xdr:cNvPr>
        <xdr:cNvPicPr>
          <a:picLocks noChangeAspect="1"/>
        </xdr:cNvPicPr>
      </xdr:nvPicPr>
      <xdr:blipFill>
        <a:blip xmlns:r="http://schemas.openxmlformats.org/officeDocument/2006/relationships" r:embed="rId5"/>
        <a:stretch>
          <a:fillRect/>
        </a:stretch>
      </xdr:blipFill>
      <xdr:spPr>
        <a:xfrm>
          <a:off x="4191000" y="1676400"/>
          <a:ext cx="561975" cy="561975"/>
        </a:xfrm>
        <a:prstGeom prst="rect">
          <a:avLst/>
        </a:prstGeom>
      </xdr:spPr>
    </xdr:pic>
    <xdr:clientData/>
  </xdr:twoCellAnchor>
  <xdr:twoCellAnchor editAs="oneCell">
    <xdr:from>
      <xdr:col>7</xdr:col>
      <xdr:colOff>76199</xdr:colOff>
      <xdr:row>17</xdr:row>
      <xdr:rowOff>38100</xdr:rowOff>
    </xdr:from>
    <xdr:to>
      <xdr:col>8</xdr:col>
      <xdr:colOff>28574</xdr:colOff>
      <xdr:row>20</xdr:row>
      <xdr:rowOff>19050</xdr:rowOff>
    </xdr:to>
    <xdr:pic>
      <xdr:nvPicPr>
        <xdr:cNvPr id="54" name="Picture 53">
          <a:extLst>
            <a:ext uri="{FF2B5EF4-FFF2-40B4-BE49-F238E27FC236}">
              <a16:creationId xmlns:a16="http://schemas.microsoft.com/office/drawing/2014/main" id="{5B0022FF-AB10-2BD8-C7AC-2F608F66EF8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343399" y="3276600"/>
          <a:ext cx="561975" cy="552450"/>
        </a:xfrm>
        <a:prstGeom prst="rect">
          <a:avLst/>
        </a:prstGeom>
      </xdr:spPr>
    </xdr:pic>
    <xdr:clientData/>
  </xdr:twoCellAnchor>
  <xdr:twoCellAnchor editAs="oneCell">
    <xdr:from>
      <xdr:col>7</xdr:col>
      <xdr:colOff>57150</xdr:colOff>
      <xdr:row>25</xdr:row>
      <xdr:rowOff>38100</xdr:rowOff>
    </xdr:from>
    <xdr:to>
      <xdr:col>8</xdr:col>
      <xdr:colOff>82471</xdr:colOff>
      <xdr:row>28</xdr:row>
      <xdr:rowOff>101521</xdr:rowOff>
    </xdr:to>
    <xdr:pic>
      <xdr:nvPicPr>
        <xdr:cNvPr id="58" name="Picture 57">
          <a:extLst>
            <a:ext uri="{FF2B5EF4-FFF2-40B4-BE49-F238E27FC236}">
              <a16:creationId xmlns:a16="http://schemas.microsoft.com/office/drawing/2014/main" id="{BF1D2DDA-0196-708C-8331-B7E7354FA8C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324350" y="4800600"/>
          <a:ext cx="634921" cy="634921"/>
        </a:xfrm>
        <a:prstGeom prst="rect">
          <a:avLst/>
        </a:prstGeom>
      </xdr:spPr>
    </xdr:pic>
    <xdr:clientData/>
  </xdr:twoCellAnchor>
  <xdr:twoCellAnchor editAs="oneCell">
    <xdr:from>
      <xdr:col>0</xdr:col>
      <xdr:colOff>552450</xdr:colOff>
      <xdr:row>23</xdr:row>
      <xdr:rowOff>9525</xdr:rowOff>
    </xdr:from>
    <xdr:to>
      <xdr:col>2</xdr:col>
      <xdr:colOff>285750</xdr:colOff>
      <xdr:row>28</xdr:row>
      <xdr:rowOff>9525</xdr:rowOff>
    </xdr:to>
    <xdr:pic>
      <xdr:nvPicPr>
        <xdr:cNvPr id="61" name="Picture 60">
          <a:extLst>
            <a:ext uri="{FF2B5EF4-FFF2-40B4-BE49-F238E27FC236}">
              <a16:creationId xmlns:a16="http://schemas.microsoft.com/office/drawing/2014/main" id="{D3EF36EC-9D6A-53E3-9843-75930DDAA4AE}"/>
            </a:ext>
          </a:extLst>
        </xdr:cNvPr>
        <xdr:cNvPicPr>
          <a:picLocks noChangeAspect="1"/>
        </xdr:cNvPicPr>
      </xdr:nvPicPr>
      <xdr:blipFill>
        <a:blip xmlns:r="http://schemas.openxmlformats.org/officeDocument/2006/relationships" r:embed="rId8"/>
        <a:stretch>
          <a:fillRect/>
        </a:stretch>
      </xdr:blipFill>
      <xdr:spPr>
        <a:xfrm>
          <a:off x="552450" y="4391025"/>
          <a:ext cx="952500" cy="952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PACITI-JHB" refreshedDate="46069.485784837962" createdVersion="8" refreshedVersion="8" minRefreshableVersion="3" recordCount="48" xr:uid="{613AC087-B018-4BF7-BE59-52FA1E7DC9DB}">
  <cacheSource type="worksheet">
    <worksheetSource name="Sales_Monthly__2"/>
  </cacheSource>
  <cacheFields count="8">
    <cacheField name="Month" numFmtId="164">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fieldGroup par="6"/>
    </cacheField>
    <cacheField name="Region" numFmtId="49">
      <sharedItems count="4">
        <s v="North"/>
        <s v="South"/>
        <s v="East"/>
        <s v="West"/>
      </sharedItems>
    </cacheField>
    <cacheField name="Actual_Revenue" numFmtId="1">
      <sharedItems containsSemiMixedTypes="0" containsString="0" containsNumber="1" containsInteger="1" minValue="38500" maxValue="55600"/>
    </cacheField>
    <cacheField name="Revenue_Target" numFmtId="1">
      <sharedItems containsSemiMixedTypes="0" containsString="0" containsNumber="1" containsInteger="1" minValue="40000" maxValue="51600"/>
    </cacheField>
    <cacheField name="Varience" numFmtId="0" formula="Actual_Revenue-Revenue_Target" databaseField="0"/>
    <cacheField name="Days (Month)" numFmtId="0" databaseField="0">
      <fieldGroup base="0">
        <rangePr groupBy="days" startDate="2025-01-01T00:00:00" endDate="2025-12-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5"/>
        </groupItems>
      </fieldGroup>
    </cacheField>
    <cacheField name="Months (Month)" numFmtId="0" databaseField="0">
      <fieldGroup base="0">
        <rangePr groupBy="months" startDate="2025-01-01T00:00:00" endDate="2025-12-02T00:00:00"/>
        <groupItems count="14">
          <s v="&lt;1/1/2025"/>
          <s v="Jan"/>
          <s v="Feb"/>
          <s v="Mar"/>
          <s v="Apr"/>
          <s v="May"/>
          <s v="Jun"/>
          <s v="Jul"/>
          <s v="Aug"/>
          <s v="Sep"/>
          <s v="Oct"/>
          <s v="Nov"/>
          <s v="Dec"/>
          <s v="&gt;12/2/2025"/>
        </groupItems>
      </fieldGroup>
    </cacheField>
    <cacheField name="% Achivement" numFmtId="0" formula="Actual_Revenue/Revenue_Target" databaseField="0"/>
  </cacheFields>
  <extLst>
    <ext xmlns:x14="http://schemas.microsoft.com/office/spreadsheetml/2009/9/main" uri="{725AE2AE-9491-48be-B2B4-4EB974FC3084}">
      <x14:pivotCacheDefinition pivotCacheId="1852166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52000"/>
    <n v="50000"/>
  </r>
  <r>
    <x v="0"/>
    <x v="1"/>
    <n v="47000"/>
    <n v="48000"/>
  </r>
  <r>
    <x v="0"/>
    <x v="2"/>
    <n v="44000"/>
    <n v="43000"/>
  </r>
  <r>
    <x v="0"/>
    <x v="3"/>
    <n v="38500"/>
    <n v="40000"/>
  </r>
  <r>
    <x v="1"/>
    <x v="0"/>
    <n v="53200"/>
    <n v="50800"/>
  </r>
  <r>
    <x v="1"/>
    <x v="1"/>
    <n v="48200"/>
    <n v="48800"/>
  </r>
  <r>
    <x v="1"/>
    <x v="2"/>
    <n v="45200"/>
    <n v="43800"/>
  </r>
  <r>
    <x v="1"/>
    <x v="3"/>
    <n v="40200"/>
    <n v="40800"/>
  </r>
  <r>
    <x v="2"/>
    <x v="0"/>
    <n v="54400"/>
    <n v="51600"/>
  </r>
  <r>
    <x v="2"/>
    <x v="1"/>
    <n v="49400"/>
    <n v="49600"/>
  </r>
  <r>
    <x v="2"/>
    <x v="2"/>
    <n v="46400"/>
    <n v="44600"/>
  </r>
  <r>
    <x v="2"/>
    <x v="3"/>
    <n v="41400"/>
    <n v="41600"/>
  </r>
  <r>
    <x v="3"/>
    <x v="0"/>
    <n v="55600"/>
    <n v="50000"/>
  </r>
  <r>
    <x v="3"/>
    <x v="1"/>
    <n v="50600"/>
    <n v="48000"/>
  </r>
  <r>
    <x v="3"/>
    <x v="2"/>
    <n v="47600"/>
    <n v="43000"/>
  </r>
  <r>
    <x v="3"/>
    <x v="3"/>
    <n v="42100"/>
    <n v="40000"/>
  </r>
  <r>
    <x v="4"/>
    <x v="0"/>
    <n v="52000"/>
    <n v="50800"/>
  </r>
  <r>
    <x v="4"/>
    <x v="1"/>
    <n v="47000"/>
    <n v="48800"/>
  </r>
  <r>
    <x v="4"/>
    <x v="2"/>
    <n v="44000"/>
    <n v="43800"/>
  </r>
  <r>
    <x v="4"/>
    <x v="3"/>
    <n v="39000"/>
    <n v="40800"/>
  </r>
  <r>
    <x v="5"/>
    <x v="0"/>
    <n v="53200"/>
    <n v="51600"/>
  </r>
  <r>
    <x v="5"/>
    <x v="1"/>
    <n v="48200"/>
    <n v="49600"/>
  </r>
  <r>
    <x v="5"/>
    <x v="2"/>
    <n v="45200"/>
    <n v="44600"/>
  </r>
  <r>
    <x v="5"/>
    <x v="3"/>
    <n v="40200"/>
    <n v="41600"/>
  </r>
  <r>
    <x v="6"/>
    <x v="0"/>
    <n v="54400"/>
    <n v="50000"/>
  </r>
  <r>
    <x v="6"/>
    <x v="1"/>
    <n v="49400"/>
    <n v="48000"/>
  </r>
  <r>
    <x v="6"/>
    <x v="2"/>
    <n v="46400"/>
    <n v="43000"/>
  </r>
  <r>
    <x v="6"/>
    <x v="3"/>
    <n v="40900"/>
    <n v="40000"/>
  </r>
  <r>
    <x v="7"/>
    <x v="0"/>
    <n v="55600"/>
    <n v="50800"/>
  </r>
  <r>
    <x v="7"/>
    <x v="1"/>
    <n v="50600"/>
    <n v="48800"/>
  </r>
  <r>
    <x v="7"/>
    <x v="2"/>
    <n v="47600"/>
    <n v="43800"/>
  </r>
  <r>
    <x v="7"/>
    <x v="3"/>
    <n v="42600"/>
    <n v="40800"/>
  </r>
  <r>
    <x v="8"/>
    <x v="0"/>
    <n v="52000"/>
    <n v="51600"/>
  </r>
  <r>
    <x v="8"/>
    <x v="1"/>
    <n v="47000"/>
    <n v="49600"/>
  </r>
  <r>
    <x v="8"/>
    <x v="2"/>
    <n v="44000"/>
    <n v="44600"/>
  </r>
  <r>
    <x v="8"/>
    <x v="3"/>
    <n v="39000"/>
    <n v="41600"/>
  </r>
  <r>
    <x v="9"/>
    <x v="0"/>
    <n v="53200"/>
    <n v="50000"/>
  </r>
  <r>
    <x v="9"/>
    <x v="1"/>
    <n v="48200"/>
    <n v="48000"/>
  </r>
  <r>
    <x v="9"/>
    <x v="2"/>
    <n v="45200"/>
    <n v="43000"/>
  </r>
  <r>
    <x v="9"/>
    <x v="3"/>
    <n v="39700"/>
    <n v="40000"/>
  </r>
  <r>
    <x v="10"/>
    <x v="0"/>
    <n v="54400"/>
    <n v="50800"/>
  </r>
  <r>
    <x v="10"/>
    <x v="1"/>
    <n v="49400"/>
    <n v="48800"/>
  </r>
  <r>
    <x v="10"/>
    <x v="2"/>
    <n v="46400"/>
    <n v="43800"/>
  </r>
  <r>
    <x v="10"/>
    <x v="3"/>
    <n v="41400"/>
    <n v="40800"/>
  </r>
  <r>
    <x v="11"/>
    <x v="0"/>
    <n v="55600"/>
    <n v="51600"/>
  </r>
  <r>
    <x v="11"/>
    <x v="1"/>
    <n v="50600"/>
    <n v="49600"/>
  </r>
  <r>
    <x v="11"/>
    <x v="2"/>
    <n v="47600"/>
    <n v="44600"/>
  </r>
  <r>
    <x v="11"/>
    <x v="3"/>
    <n v="42600"/>
    <n v="41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129217-DBB9-49D9-974C-4D0DD20731E7}" name="PivotTable2" cacheId="40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D17" firstHeaderRow="0" firstDataRow="1" firstDataCol="1"/>
  <pivotFields count="8">
    <pivotField numFmtId="164" showAll="0">
      <items count="13">
        <item x="0"/>
        <item x="1"/>
        <item x="2"/>
        <item x="3"/>
        <item x="4"/>
        <item x="5"/>
        <item x="6"/>
        <item x="7"/>
        <item x="8"/>
        <item x="9"/>
        <item x="10"/>
        <item x="11"/>
        <item t="default"/>
      </items>
    </pivotField>
    <pivotField axis="axisRow" showAll="0">
      <items count="5">
        <item x="2"/>
        <item x="0"/>
        <item x="1"/>
        <item x="3"/>
        <item t="default"/>
      </items>
    </pivotField>
    <pivotField dataField="1" numFmtId="1" showAll="0"/>
    <pivotField dataField="1" numFmtId="1"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dragToRow="0" dragToCol="0" dragToPage="0" showAll="0" defaultSubtotal="0"/>
  </pivotFields>
  <rowFields count="1">
    <field x="1"/>
  </rowFields>
  <rowItems count="5">
    <i>
      <x/>
    </i>
    <i>
      <x v="1"/>
    </i>
    <i>
      <x v="2"/>
    </i>
    <i>
      <x v="3"/>
    </i>
    <i t="grand">
      <x/>
    </i>
  </rowItems>
  <colFields count="1">
    <field x="-2"/>
  </colFields>
  <colItems count="3">
    <i>
      <x/>
    </i>
    <i i="1">
      <x v="1"/>
    </i>
    <i i="2">
      <x v="2"/>
    </i>
  </colItems>
  <dataFields count="3">
    <dataField name="Sum of Actual_Revenue" fld="2" baseField="0" baseItem="0" numFmtId="1"/>
    <dataField name="Sum of Revenue_Target" fld="3" baseField="0" baseItem="0" numFmtId="1"/>
    <dataField name="                                                   Sum of % Achivement" fld="7" baseField="0" baseItem="0" numFmtId="9"/>
  </dataField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9EB8E5-2109-4BB5-ADB1-60DE1E747706}" name="PivotTable1" cacheId="40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8">
    <pivotField numFmtId="164" showAll="0">
      <items count="13">
        <item x="0"/>
        <item x="1"/>
        <item x="2"/>
        <item x="3"/>
        <item x="4"/>
        <item x="5"/>
        <item x="6"/>
        <item x="7"/>
        <item x="8"/>
        <item x="9"/>
        <item x="10"/>
        <item x="11"/>
        <item t="default"/>
      </items>
    </pivotField>
    <pivotField axis="axisRow" showAll="0">
      <items count="5">
        <item x="2"/>
        <item x="0"/>
        <item x="1"/>
        <item x="3"/>
        <item t="default"/>
      </items>
    </pivotField>
    <pivotField dataField="1" numFmtId="1" showAll="0"/>
    <pivotField dataField="1" numFmtId="1" showAl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
  </rowFields>
  <rowItems count="5">
    <i>
      <x/>
    </i>
    <i>
      <x v="1"/>
    </i>
    <i>
      <x v="2"/>
    </i>
    <i>
      <x v="3"/>
    </i>
    <i t="grand">
      <x/>
    </i>
  </rowItems>
  <colFields count="1">
    <field x="-2"/>
  </colFields>
  <colItems count="3">
    <i>
      <x/>
    </i>
    <i i="1">
      <x v="1"/>
    </i>
    <i i="2">
      <x v="2"/>
    </i>
  </colItems>
  <dataFields count="3">
    <dataField name="Sum of Actual_Revenue" fld="2" baseField="0" baseItem="0" numFmtId="1"/>
    <dataField name="Sum of Revenue_Target" fld="3" baseField="0" baseItem="0" numFmtId="1"/>
    <dataField name="Sum of Varience" fld="4" baseField="0" baseItem="0" numFmtId="1"/>
  </dataFields>
  <formats count="6">
    <format dxfId="8">
      <pivotArea outline="0" collapsedLevelsAreSubtotals="1" fieldPosition="0">
        <references count="1">
          <reference field="4294967294" count="1" selected="0">
            <x v="1"/>
          </reference>
        </references>
      </pivotArea>
    </format>
    <format dxfId="9">
      <pivotArea dataOnly="0" labelOnly="1" outline="0" fieldPosition="0">
        <references count="1">
          <reference field="4294967294" count="1">
            <x v="1"/>
          </reference>
        </references>
      </pivotArea>
    </format>
    <format dxfId="10">
      <pivotArea outline="0" collapsedLevelsAreSubtotals="1" fieldPosition="0">
        <references count="1">
          <reference field="4294967294" count="1" selected="0">
            <x v="2"/>
          </reference>
        </references>
      </pivotArea>
    </format>
    <format dxfId="11">
      <pivotArea dataOnly="0" labelOnly="1" outline="0" fieldPosition="0">
        <references count="1">
          <reference field="4294967294" count="1">
            <x v="2"/>
          </reference>
        </references>
      </pivotArea>
    </format>
    <format dxfId="12">
      <pivotArea outline="0" collapsedLevelsAreSubtotals="1" fieldPosition="0">
        <references count="1">
          <reference field="4294967294" count="1" selected="0">
            <x v="0"/>
          </reference>
        </references>
      </pivotArea>
    </format>
    <format dxfId="1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FA8AD1-779C-435D-93EB-21F8E7C96BB8}" name="PivotTable6" cacheId="40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9:G50" firstHeaderRow="0" firstDataRow="1" firstDataCol="0"/>
  <pivotFields count="8">
    <pivotField numFmtId="164" showAll="0">
      <items count="13">
        <item x="0"/>
        <item x="1"/>
        <item x="2"/>
        <item x="3"/>
        <item x="4"/>
        <item x="5"/>
        <item x="6"/>
        <item x="7"/>
        <item x="8"/>
        <item x="9"/>
        <item x="10"/>
        <item x="11"/>
        <item t="default"/>
      </items>
    </pivotField>
    <pivotField showAll="0">
      <items count="5">
        <item x="2"/>
        <item x="0"/>
        <item x="1"/>
        <item x="3"/>
        <item t="default"/>
      </items>
    </pivotField>
    <pivotField dataField="1" numFmtId="1" showAll="0"/>
    <pivotField dataField="1" numFmtId="1" showAll="0"/>
    <pivotField dataField="1"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Items count="1">
    <i/>
  </rowItems>
  <colFields count="1">
    <field x="-2"/>
  </colFields>
  <colItems count="4">
    <i>
      <x/>
    </i>
    <i i="1">
      <x v="1"/>
    </i>
    <i i="2">
      <x v="2"/>
    </i>
    <i i="3">
      <x v="3"/>
    </i>
  </colItems>
  <dataFields count="4">
    <dataField name="Sum of Actual_Revenue" fld="2" baseField="0" baseItem="0" numFmtId="1"/>
    <dataField name="Sum of Revenue_Target" fld="3" baseField="0" baseItem="0" numFmtId="1"/>
    <dataField name="Sum of Varience" fld="4" baseField="0" baseItem="0" numFmtId="1"/>
    <dataField name="Sum of % Achivement" fld="7"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1FB38A-26F6-4F95-8E4D-0B7455282681}" name="PivotTable5" cacheId="40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5:B50" firstHeaderRow="1" firstDataRow="1" firstDataCol="1"/>
  <pivotFields count="8">
    <pivotField numFmtId="164" showAll="0">
      <items count="13">
        <item x="0"/>
        <item x="1"/>
        <item x="2"/>
        <item x="3"/>
        <item x="4"/>
        <item x="5"/>
        <item x="6"/>
        <item x="7"/>
        <item x="8"/>
        <item x="9"/>
        <item x="10"/>
        <item x="11"/>
        <item t="default"/>
      </items>
    </pivotField>
    <pivotField axis="axisRow" showAll="0">
      <items count="5">
        <item x="2"/>
        <item x="0"/>
        <item x="1"/>
        <item x="3"/>
        <item t="default"/>
      </items>
    </pivotField>
    <pivotField numFmtId="1" showAll="0"/>
    <pivotField numFmtId="1" showAll="0"/>
    <pivotField dataField="1"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
  </rowFields>
  <rowItems count="5">
    <i>
      <x/>
    </i>
    <i>
      <x v="1"/>
    </i>
    <i>
      <x v="2"/>
    </i>
    <i>
      <x v="3"/>
    </i>
    <i t="grand">
      <x/>
    </i>
  </rowItems>
  <colItems count="1">
    <i/>
  </colItems>
  <dataFields count="1">
    <dataField name="Sum of Varience" fld="4" baseField="0" baseItem="0" numFmtId="1"/>
  </dataFields>
  <chartFormats count="6">
    <chartFormat chart="4"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C0EF30-E618-4173-B2D4-A4D4CA48771B}" name="PivotTable3" cacheId="40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B37" firstHeaderRow="1" firstDataRow="1" firstDataCol="1"/>
  <pivotFields count="8">
    <pivotField numFmtId="164" showAll="0">
      <items count="13">
        <item x="0"/>
        <item x="1"/>
        <item x="2"/>
        <item x="3"/>
        <item x="4"/>
        <item x="5"/>
        <item x="6"/>
        <item x="7"/>
        <item x="8"/>
        <item x="9"/>
        <item x="10"/>
        <item x="11"/>
        <item t="default"/>
      </items>
    </pivotField>
    <pivotField showAll="0">
      <items count="5">
        <item x="2"/>
        <item x="0"/>
        <item x="1"/>
        <item x="3"/>
        <item t="default"/>
      </items>
    </pivotField>
    <pivotField numFmtId="1" showAll="0"/>
    <pivotField dataField="1" numFmtId="1" showAl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6"/>
  </rowFields>
  <rowItems count="13">
    <i>
      <x v="1"/>
    </i>
    <i>
      <x v="2"/>
    </i>
    <i>
      <x v="3"/>
    </i>
    <i>
      <x v="4"/>
    </i>
    <i>
      <x v="5"/>
    </i>
    <i>
      <x v="6"/>
    </i>
    <i>
      <x v="7"/>
    </i>
    <i>
      <x v="8"/>
    </i>
    <i>
      <x v="9"/>
    </i>
    <i>
      <x v="10"/>
    </i>
    <i>
      <x v="11"/>
    </i>
    <i>
      <x v="12"/>
    </i>
    <i t="grand">
      <x/>
    </i>
  </rowItems>
  <colItems count="1">
    <i/>
  </colItems>
  <dataFields count="1">
    <dataField name="Sum of Revenue_Target" fld="3" baseField="0" baseItem="0" numFmtId="1"/>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FF295141-5D52-454C-8D19-F1F593C07208}" autoFormatId="16" applyNumberFormats="0" applyBorderFormats="0" applyFontFormats="0" applyPatternFormats="0" applyAlignmentFormats="0" applyWidthHeightFormats="0">
  <queryTableRefresh nextId="4">
    <queryTableFields count="3">
      <queryTableField id="1" name="Month" tableColumnId="1"/>
      <queryTableField id="2" name="Region" tableColumnId="2"/>
      <queryTableField id="3" name="Revenue_Target"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FF1129B-427B-4ED5-A5D2-50C3816796CC}" autoFormatId="16" applyNumberFormats="0" applyBorderFormats="0" applyFontFormats="0" applyPatternFormats="0" applyAlignmentFormats="0" applyWidthHeightFormats="0">
  <queryTableRefresh nextId="5">
    <queryTableFields count="4">
      <queryTableField id="1" name="Month" tableColumnId="1"/>
      <queryTableField id="2" name="Region" tableColumnId="2"/>
      <queryTableField id="3" name="Actual_Revenue" tableColumnId="3"/>
      <queryTableField id="4" name="Sales-Targets.Revenue_Target"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31A701-831E-4C13-B123-C4CEEA5C0C41}" sourceName="Region">
  <pivotTables>
    <pivotTable tabId="4" name="PivotTable5"/>
    <pivotTable tabId="4" name="PivotTable1"/>
    <pivotTable tabId="4" name="PivotTable2"/>
    <pivotTable tabId="4" name="PivotTable3"/>
    <pivotTable tabId="4" name="PivotTable6"/>
  </pivotTables>
  <data>
    <tabular pivotCacheId="185216669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699CCB0-CCC4-4EED-A345-114DE9FC8975}" sourceName="Month">
  <pivotTables>
    <pivotTable tabId="4" name="PivotTable2"/>
    <pivotTable tabId="4" name="PivotTable1"/>
    <pivotTable tabId="4" name="PivotTable3"/>
    <pivotTable tabId="4" name="PivotTable5"/>
    <pivotTable tabId="4" name="PivotTable6"/>
  </pivotTables>
  <data>
    <tabular pivotCacheId="1852166698">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8EA90B-4C04-448F-A571-4FEA3E68CEB5}" cache="Slicer_Region" caption="Region" columnCount="4" rowHeight="257175"/>
  <slicer name="Month" xr10:uid="{FD6579ED-DCE0-4C0D-934A-EF982B548FF3}" cache="Slicer_Month" caption="Month" startItem="10" columnCoun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92BF0B-3BBD-421D-A32B-252C48C3A985}" name="Sales_Targets" displayName="Sales_Targets" ref="A1:C49" tableType="queryTable" totalsRowShown="0">
  <autoFilter ref="A1:C49" xr:uid="{5992BF0B-3BBD-421D-A32B-252C48C3A985}"/>
  <tableColumns count="3">
    <tableColumn id="1" xr3:uid="{FB994BBC-28C6-4FD2-8164-6C6460C288C6}" uniqueName="1" name="Month" queryTableFieldId="1" dataDxfId="7"/>
    <tableColumn id="2" xr3:uid="{83C31D69-EC46-4442-AC42-8D34D898E00D}" uniqueName="2" name="Region" queryTableFieldId="2" dataDxfId="6"/>
    <tableColumn id="3" xr3:uid="{E115A312-59FC-49B7-83FD-08B9ACCFBC86}" uniqueName="3" name="Revenue_Target" queryTableField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FC540C-6AFA-4F5C-A62A-BC4A228105C6}" name="Table3" displayName="Table3" ref="A3:D15" totalsRowShown="0">
  <autoFilter ref="A3:D15" xr:uid="{B0FC540C-6AFA-4F5C-A62A-BC4A228105C6}"/>
  <tableColumns count="4">
    <tableColumn id="1" xr3:uid="{634A8007-9F98-4078-8A32-2F9A6EA3229C}" name=" " dataDxfId="5"/>
    <tableColumn id="2" xr3:uid="{410FD62A-E734-4619-8ED0-4B993EB449D8}" name="Region"/>
    <tableColumn id="3" xr3:uid="{D57DE71A-CD4C-425C-BECA-3BD96D683A94}" name="Actual_Revenue"/>
    <tableColumn id="4" xr3:uid="{D6C5EBD9-2341-4A69-9F51-A3178ECDF312}" name="Revenue_Targe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DA6CD3-B5ED-4A20-97F1-9502E06C6A48}" name="Table4" displayName="Table4" ref="A3:D15" totalsRowShown="0">
  <autoFilter ref="A3:D15" xr:uid="{9BDA6CD3-B5ED-4A20-97F1-9502E06C6A48}"/>
  <tableColumns count="4">
    <tableColumn id="1" xr3:uid="{B69E577D-1C9E-4352-A9E7-FF182D698AF1}" name="Month" dataDxfId="4"/>
    <tableColumn id="2" xr3:uid="{82EC1665-4B96-4301-8B9C-4ECBAEDC0A3D}" name="Region"/>
    <tableColumn id="3" xr3:uid="{F2C3F1EF-B7AE-42F4-A7E2-1E504240B39D}" name="Actual_Revenue"/>
    <tableColumn id="4" xr3:uid="{6E5729FE-34A3-46EA-AE00-10F26C3B267C}" name="Revenue_Targe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863F7C-9D8C-4BB6-B6CE-9D46B847D591}" name="Sales_Monthly__2" displayName="Sales_Monthly__2" ref="A1:D49" tableType="queryTable" totalsRowShown="0">
  <autoFilter ref="A1:D49" xr:uid="{0A863F7C-9D8C-4BB6-B6CE-9D46B847D591}"/>
  <tableColumns count="4">
    <tableColumn id="1" xr3:uid="{73BEF2FB-A2D0-4B63-9BC5-8976D68012B9}" uniqueName="1" name="Month" queryTableFieldId="1" dataDxfId="3"/>
    <tableColumn id="2" xr3:uid="{8FCE1765-A425-426C-9442-D1778814D0F1}" uniqueName="2" name="Region" queryTableFieldId="2" dataDxfId="2"/>
    <tableColumn id="3" xr3:uid="{3A27BAA1-2344-4D54-9FD3-0344F140E129}" uniqueName="3" name="Actual_Revenue" queryTableFieldId="3" dataDxfId="1"/>
    <tableColumn id="4" xr3:uid="{F312342D-2286-4473-8EFF-A415AC8C7B5E}" uniqueName="4" name="Revenue_Target" queryTableFieldId="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D61E7-90E1-4653-AE8C-F7D877330E3E}">
  <dimension ref="A1:C49"/>
  <sheetViews>
    <sheetView workbookViewId="0"/>
  </sheetViews>
  <sheetFormatPr defaultRowHeight="15"/>
  <cols>
    <col min="1" max="1" width="9.42578125" bestFit="1" customWidth="1"/>
    <col min="2" max="2" width="9.5703125" bestFit="1" customWidth="1"/>
    <col min="3" max="3" width="17.85546875" bestFit="1" customWidth="1"/>
  </cols>
  <sheetData>
    <row r="1" spans="1:3">
      <c r="A1" t="s">
        <v>0</v>
      </c>
      <c r="B1" t="s">
        <v>1</v>
      </c>
      <c r="C1" t="s">
        <v>2</v>
      </c>
    </row>
    <row r="2" spans="1:3">
      <c r="A2" s="1">
        <v>45658</v>
      </c>
      <c r="B2" t="s">
        <v>3</v>
      </c>
      <c r="C2">
        <v>50000</v>
      </c>
    </row>
    <row r="3" spans="1:3">
      <c r="A3" s="1">
        <v>45658</v>
      </c>
      <c r="B3" t="s">
        <v>4</v>
      </c>
      <c r="C3">
        <v>48000</v>
      </c>
    </row>
    <row r="4" spans="1:3">
      <c r="A4" s="1">
        <v>45658</v>
      </c>
      <c r="B4" t="s">
        <v>5</v>
      </c>
      <c r="C4">
        <v>43000</v>
      </c>
    </row>
    <row r="5" spans="1:3">
      <c r="A5" s="1">
        <v>45658</v>
      </c>
      <c r="B5" t="s">
        <v>6</v>
      </c>
      <c r="C5">
        <v>40000</v>
      </c>
    </row>
    <row r="6" spans="1:3">
      <c r="A6" s="1">
        <v>45689</v>
      </c>
      <c r="B6" t="s">
        <v>3</v>
      </c>
      <c r="C6">
        <v>50800</v>
      </c>
    </row>
    <row r="7" spans="1:3">
      <c r="A7" s="1">
        <v>45689</v>
      </c>
      <c r="B7" t="s">
        <v>4</v>
      </c>
      <c r="C7">
        <v>48800</v>
      </c>
    </row>
    <row r="8" spans="1:3">
      <c r="A8" s="1">
        <v>45689</v>
      </c>
      <c r="B8" t="s">
        <v>5</v>
      </c>
      <c r="C8">
        <v>43800</v>
      </c>
    </row>
    <row r="9" spans="1:3">
      <c r="A9" s="1">
        <v>45689</v>
      </c>
      <c r="B9" t="s">
        <v>6</v>
      </c>
      <c r="C9">
        <v>40800</v>
      </c>
    </row>
    <row r="10" spans="1:3">
      <c r="A10" s="1">
        <v>45717</v>
      </c>
      <c r="B10" t="s">
        <v>3</v>
      </c>
      <c r="C10">
        <v>51600</v>
      </c>
    </row>
    <row r="11" spans="1:3">
      <c r="A11" s="1">
        <v>45717</v>
      </c>
      <c r="B11" t="s">
        <v>4</v>
      </c>
      <c r="C11">
        <v>49600</v>
      </c>
    </row>
    <row r="12" spans="1:3">
      <c r="A12" s="1">
        <v>45717</v>
      </c>
      <c r="B12" t="s">
        <v>5</v>
      </c>
      <c r="C12">
        <v>44600</v>
      </c>
    </row>
    <row r="13" spans="1:3">
      <c r="A13" s="1">
        <v>45717</v>
      </c>
      <c r="B13" t="s">
        <v>6</v>
      </c>
      <c r="C13">
        <v>41600</v>
      </c>
    </row>
    <row r="14" spans="1:3">
      <c r="A14" s="1">
        <v>45748</v>
      </c>
      <c r="B14" t="s">
        <v>3</v>
      </c>
      <c r="C14">
        <v>50000</v>
      </c>
    </row>
    <row r="15" spans="1:3">
      <c r="A15" s="1">
        <v>45748</v>
      </c>
      <c r="B15" t="s">
        <v>4</v>
      </c>
      <c r="C15">
        <v>48000</v>
      </c>
    </row>
    <row r="16" spans="1:3">
      <c r="A16" s="1">
        <v>45748</v>
      </c>
      <c r="B16" t="s">
        <v>5</v>
      </c>
      <c r="C16">
        <v>43000</v>
      </c>
    </row>
    <row r="17" spans="1:3">
      <c r="A17" s="1">
        <v>45748</v>
      </c>
      <c r="B17" t="s">
        <v>6</v>
      </c>
      <c r="C17">
        <v>40000</v>
      </c>
    </row>
    <row r="18" spans="1:3">
      <c r="A18" s="1">
        <v>45778</v>
      </c>
      <c r="B18" t="s">
        <v>3</v>
      </c>
      <c r="C18">
        <v>50800</v>
      </c>
    </row>
    <row r="19" spans="1:3">
      <c r="A19" s="1">
        <v>45778</v>
      </c>
      <c r="B19" t="s">
        <v>4</v>
      </c>
      <c r="C19">
        <v>48800</v>
      </c>
    </row>
    <row r="20" spans="1:3">
      <c r="A20" s="1">
        <v>45778</v>
      </c>
      <c r="B20" t="s">
        <v>5</v>
      </c>
      <c r="C20">
        <v>43800</v>
      </c>
    </row>
    <row r="21" spans="1:3">
      <c r="A21" s="1">
        <v>45778</v>
      </c>
      <c r="B21" t="s">
        <v>6</v>
      </c>
      <c r="C21">
        <v>40800</v>
      </c>
    </row>
    <row r="22" spans="1:3">
      <c r="A22" s="1">
        <v>45809</v>
      </c>
      <c r="B22" t="s">
        <v>3</v>
      </c>
      <c r="C22">
        <v>51600</v>
      </c>
    </row>
    <row r="23" spans="1:3">
      <c r="A23" s="1">
        <v>45809</v>
      </c>
      <c r="B23" t="s">
        <v>4</v>
      </c>
      <c r="C23">
        <v>49600</v>
      </c>
    </row>
    <row r="24" spans="1:3">
      <c r="A24" s="1">
        <v>45809</v>
      </c>
      <c r="B24" t="s">
        <v>5</v>
      </c>
      <c r="C24">
        <v>44600</v>
      </c>
    </row>
    <row r="25" spans="1:3">
      <c r="A25" s="1">
        <v>45809</v>
      </c>
      <c r="B25" t="s">
        <v>6</v>
      </c>
      <c r="C25">
        <v>41600</v>
      </c>
    </row>
    <row r="26" spans="1:3">
      <c r="A26" s="1">
        <v>45839</v>
      </c>
      <c r="B26" t="s">
        <v>3</v>
      </c>
      <c r="C26">
        <v>50000</v>
      </c>
    </row>
    <row r="27" spans="1:3">
      <c r="A27" s="1">
        <v>45839</v>
      </c>
      <c r="B27" t="s">
        <v>4</v>
      </c>
      <c r="C27">
        <v>48000</v>
      </c>
    </row>
    <row r="28" spans="1:3">
      <c r="A28" s="1">
        <v>45839</v>
      </c>
      <c r="B28" t="s">
        <v>5</v>
      </c>
      <c r="C28">
        <v>43000</v>
      </c>
    </row>
    <row r="29" spans="1:3">
      <c r="A29" s="1">
        <v>45839</v>
      </c>
      <c r="B29" t="s">
        <v>6</v>
      </c>
      <c r="C29">
        <v>40000</v>
      </c>
    </row>
    <row r="30" spans="1:3">
      <c r="A30" s="1">
        <v>45870</v>
      </c>
      <c r="B30" t="s">
        <v>3</v>
      </c>
      <c r="C30">
        <v>50800</v>
      </c>
    </row>
    <row r="31" spans="1:3">
      <c r="A31" s="1">
        <v>45870</v>
      </c>
      <c r="B31" t="s">
        <v>4</v>
      </c>
      <c r="C31">
        <v>48800</v>
      </c>
    </row>
    <row r="32" spans="1:3">
      <c r="A32" s="1">
        <v>45870</v>
      </c>
      <c r="B32" t="s">
        <v>5</v>
      </c>
      <c r="C32">
        <v>43800</v>
      </c>
    </row>
    <row r="33" spans="1:3">
      <c r="A33" s="1">
        <v>45870</v>
      </c>
      <c r="B33" t="s">
        <v>6</v>
      </c>
      <c r="C33">
        <v>40800</v>
      </c>
    </row>
    <row r="34" spans="1:3">
      <c r="A34" s="1">
        <v>45901</v>
      </c>
      <c r="B34" t="s">
        <v>3</v>
      </c>
      <c r="C34">
        <v>51600</v>
      </c>
    </row>
    <row r="35" spans="1:3">
      <c r="A35" s="1">
        <v>45901</v>
      </c>
      <c r="B35" t="s">
        <v>4</v>
      </c>
      <c r="C35">
        <v>49600</v>
      </c>
    </row>
    <row r="36" spans="1:3">
      <c r="A36" s="1">
        <v>45901</v>
      </c>
      <c r="B36" t="s">
        <v>5</v>
      </c>
      <c r="C36">
        <v>44600</v>
      </c>
    </row>
    <row r="37" spans="1:3">
      <c r="A37" s="1">
        <v>45901</v>
      </c>
      <c r="B37" t="s">
        <v>6</v>
      </c>
      <c r="C37">
        <v>41600</v>
      </c>
    </row>
    <row r="38" spans="1:3">
      <c r="A38" s="1">
        <v>45931</v>
      </c>
      <c r="B38" t="s">
        <v>3</v>
      </c>
      <c r="C38">
        <v>50000</v>
      </c>
    </row>
    <row r="39" spans="1:3">
      <c r="A39" s="1">
        <v>45931</v>
      </c>
      <c r="B39" t="s">
        <v>4</v>
      </c>
      <c r="C39">
        <v>48000</v>
      </c>
    </row>
    <row r="40" spans="1:3">
      <c r="A40" s="1">
        <v>45931</v>
      </c>
      <c r="B40" t="s">
        <v>5</v>
      </c>
      <c r="C40">
        <v>43000</v>
      </c>
    </row>
    <row r="41" spans="1:3">
      <c r="A41" s="1">
        <v>45931</v>
      </c>
      <c r="B41" t="s">
        <v>6</v>
      </c>
      <c r="C41">
        <v>40000</v>
      </c>
    </row>
    <row r="42" spans="1:3">
      <c r="A42" s="1">
        <v>45962</v>
      </c>
      <c r="B42" t="s">
        <v>3</v>
      </c>
      <c r="C42">
        <v>50800</v>
      </c>
    </row>
    <row r="43" spans="1:3">
      <c r="A43" s="1">
        <v>45962</v>
      </c>
      <c r="B43" t="s">
        <v>4</v>
      </c>
      <c r="C43">
        <v>48800</v>
      </c>
    </row>
    <row r="44" spans="1:3">
      <c r="A44" s="1">
        <v>45962</v>
      </c>
      <c r="B44" t="s">
        <v>5</v>
      </c>
      <c r="C44">
        <v>43800</v>
      </c>
    </row>
    <row r="45" spans="1:3">
      <c r="A45" s="1">
        <v>45962</v>
      </c>
      <c r="B45" t="s">
        <v>6</v>
      </c>
      <c r="C45">
        <v>40800</v>
      </c>
    </row>
    <row r="46" spans="1:3">
      <c r="A46" s="1">
        <v>45992</v>
      </c>
      <c r="B46" t="s">
        <v>3</v>
      </c>
      <c r="C46">
        <v>51600</v>
      </c>
    </row>
    <row r="47" spans="1:3">
      <c r="A47" s="1">
        <v>45992</v>
      </c>
      <c r="B47" t="s">
        <v>4</v>
      </c>
      <c r="C47">
        <v>49600</v>
      </c>
    </row>
    <row r="48" spans="1:3">
      <c r="A48" s="1">
        <v>45992</v>
      </c>
      <c r="B48" t="s">
        <v>5</v>
      </c>
      <c r="C48">
        <v>44600</v>
      </c>
    </row>
    <row r="49" spans="1:3">
      <c r="A49" s="1">
        <v>45992</v>
      </c>
      <c r="B49" t="s">
        <v>6</v>
      </c>
      <c r="C49">
        <v>41600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6ABA4-BDCF-4A8A-BA9F-06D71E02FD6A}">
  <dimension ref="A1:D15"/>
  <sheetViews>
    <sheetView workbookViewId="0">
      <selection activeCell="A3" sqref="A3:D15"/>
    </sheetView>
  </sheetViews>
  <sheetFormatPr defaultRowHeight="15"/>
  <cols>
    <col min="1" max="1" width="9.42578125" bestFit="1" customWidth="1"/>
    <col min="2" max="2" width="9.5703125" bestFit="1" customWidth="1"/>
    <col min="3" max="4" width="17.85546875" bestFit="1" customWidth="1"/>
  </cols>
  <sheetData>
    <row r="1" spans="1:4">
      <c r="A1" s="8" t="s">
        <v>7</v>
      </c>
    </row>
    <row r="3" spans="1:4">
      <c r="A3" t="s">
        <v>8</v>
      </c>
      <c r="B3" t="s">
        <v>1</v>
      </c>
      <c r="C3" t="s">
        <v>9</v>
      </c>
      <c r="D3" t="s">
        <v>2</v>
      </c>
    </row>
    <row r="4" spans="1:4">
      <c r="A4" s="1">
        <v>45992</v>
      </c>
      <c r="B4" t="s">
        <v>5</v>
      </c>
      <c r="C4">
        <v>47600</v>
      </c>
      <c r="D4">
        <v>44600</v>
      </c>
    </row>
    <row r="5" spans="1:4">
      <c r="A5" s="1">
        <v>45962</v>
      </c>
      <c r="B5" t="s">
        <v>5</v>
      </c>
      <c r="C5">
        <v>46400</v>
      </c>
      <c r="D5">
        <v>43800</v>
      </c>
    </row>
    <row r="6" spans="1:4">
      <c r="A6" s="1">
        <v>45658</v>
      </c>
      <c r="B6" t="s">
        <v>5</v>
      </c>
      <c r="C6">
        <v>44000</v>
      </c>
      <c r="D6">
        <v>43000</v>
      </c>
    </row>
    <row r="7" spans="1:4">
      <c r="A7" s="1">
        <v>45931</v>
      </c>
      <c r="B7" t="s">
        <v>5</v>
      </c>
      <c r="C7">
        <v>45200</v>
      </c>
      <c r="D7">
        <v>43000</v>
      </c>
    </row>
    <row r="8" spans="1:4">
      <c r="A8" s="1">
        <v>45901</v>
      </c>
      <c r="B8" t="s">
        <v>5</v>
      </c>
      <c r="C8">
        <v>44000</v>
      </c>
      <c r="D8">
        <v>44600</v>
      </c>
    </row>
    <row r="9" spans="1:4">
      <c r="A9" s="1">
        <v>45870</v>
      </c>
      <c r="B9" t="s">
        <v>5</v>
      </c>
      <c r="C9">
        <v>47600</v>
      </c>
      <c r="D9">
        <v>43800</v>
      </c>
    </row>
    <row r="10" spans="1:4">
      <c r="A10" s="1">
        <v>45689</v>
      </c>
      <c r="B10" t="s">
        <v>5</v>
      </c>
      <c r="C10">
        <v>45200</v>
      </c>
      <c r="D10">
        <v>43800</v>
      </c>
    </row>
    <row r="11" spans="1:4">
      <c r="A11" s="1">
        <v>45839</v>
      </c>
      <c r="B11" t="s">
        <v>5</v>
      </c>
      <c r="C11">
        <v>46400</v>
      </c>
      <c r="D11">
        <v>43000</v>
      </c>
    </row>
    <row r="12" spans="1:4">
      <c r="A12" s="1">
        <v>45809</v>
      </c>
      <c r="B12" t="s">
        <v>5</v>
      </c>
      <c r="C12">
        <v>45200</v>
      </c>
      <c r="D12">
        <v>44600</v>
      </c>
    </row>
    <row r="13" spans="1:4">
      <c r="A13" s="1">
        <v>45778</v>
      </c>
      <c r="B13" t="s">
        <v>5</v>
      </c>
      <c r="C13">
        <v>44000</v>
      </c>
      <c r="D13">
        <v>43800</v>
      </c>
    </row>
    <row r="14" spans="1:4">
      <c r="A14" s="1">
        <v>45717</v>
      </c>
      <c r="B14" t="s">
        <v>5</v>
      </c>
      <c r="C14">
        <v>46400</v>
      </c>
      <c r="D14">
        <v>44600</v>
      </c>
    </row>
    <row r="15" spans="1:4">
      <c r="A15" s="1">
        <v>45748</v>
      </c>
      <c r="B15" t="s">
        <v>5</v>
      </c>
      <c r="C15">
        <v>47600</v>
      </c>
      <c r="D15">
        <v>43000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089C2-8192-4E42-884D-6A2BFB7CB8C8}">
  <dimension ref="A1:D15"/>
  <sheetViews>
    <sheetView workbookViewId="0">
      <selection activeCell="J14" sqref="J14"/>
    </sheetView>
  </sheetViews>
  <sheetFormatPr defaultRowHeight="15"/>
  <cols>
    <col min="1" max="1" width="9.42578125" bestFit="1" customWidth="1"/>
    <col min="2" max="2" width="9.5703125" bestFit="1" customWidth="1"/>
    <col min="3" max="4" width="17.85546875" bestFit="1" customWidth="1"/>
  </cols>
  <sheetData>
    <row r="1" spans="1:4">
      <c r="A1" s="8" t="s">
        <v>10</v>
      </c>
    </row>
    <row r="3" spans="1:4">
      <c r="A3" t="s">
        <v>0</v>
      </c>
      <c r="B3" t="s">
        <v>1</v>
      </c>
      <c r="C3" t="s">
        <v>9</v>
      </c>
      <c r="D3" t="s">
        <v>2</v>
      </c>
    </row>
    <row r="4" spans="1:4">
      <c r="A4" s="1">
        <v>45992</v>
      </c>
      <c r="B4" t="s">
        <v>4</v>
      </c>
      <c r="C4">
        <v>50600</v>
      </c>
      <c r="D4">
        <v>49600</v>
      </c>
    </row>
    <row r="5" spans="1:4">
      <c r="A5" s="1">
        <v>45658</v>
      </c>
      <c r="B5" t="s">
        <v>4</v>
      </c>
      <c r="C5">
        <v>47000</v>
      </c>
      <c r="D5">
        <v>48000</v>
      </c>
    </row>
    <row r="6" spans="1:4">
      <c r="A6" s="1">
        <v>45962</v>
      </c>
      <c r="B6" t="s">
        <v>4</v>
      </c>
      <c r="C6">
        <v>49400</v>
      </c>
      <c r="D6">
        <v>48800</v>
      </c>
    </row>
    <row r="7" spans="1:4">
      <c r="A7" s="1">
        <v>45931</v>
      </c>
      <c r="B7" t="s">
        <v>4</v>
      </c>
      <c r="C7">
        <v>48200</v>
      </c>
      <c r="D7">
        <v>48000</v>
      </c>
    </row>
    <row r="8" spans="1:4">
      <c r="A8" s="1">
        <v>45901</v>
      </c>
      <c r="B8" t="s">
        <v>4</v>
      </c>
      <c r="C8">
        <v>47000</v>
      </c>
      <c r="D8">
        <v>49600</v>
      </c>
    </row>
    <row r="9" spans="1:4">
      <c r="A9" s="1">
        <v>45689</v>
      </c>
      <c r="B9" t="s">
        <v>4</v>
      </c>
      <c r="C9">
        <v>48200</v>
      </c>
      <c r="D9">
        <v>48800</v>
      </c>
    </row>
    <row r="10" spans="1:4">
      <c r="A10" s="1">
        <v>45870</v>
      </c>
      <c r="B10" t="s">
        <v>4</v>
      </c>
      <c r="C10">
        <v>50600</v>
      </c>
      <c r="D10">
        <v>48800</v>
      </c>
    </row>
    <row r="11" spans="1:4">
      <c r="A11" s="1">
        <v>45839</v>
      </c>
      <c r="B11" t="s">
        <v>4</v>
      </c>
      <c r="C11">
        <v>49400</v>
      </c>
      <c r="D11">
        <v>48000</v>
      </c>
    </row>
    <row r="12" spans="1:4">
      <c r="A12" s="1">
        <v>45809</v>
      </c>
      <c r="B12" t="s">
        <v>4</v>
      </c>
      <c r="C12">
        <v>48200</v>
      </c>
      <c r="D12">
        <v>49600</v>
      </c>
    </row>
    <row r="13" spans="1:4">
      <c r="A13" s="1">
        <v>45717</v>
      </c>
      <c r="B13" t="s">
        <v>4</v>
      </c>
      <c r="C13">
        <v>49400</v>
      </c>
      <c r="D13">
        <v>49600</v>
      </c>
    </row>
    <row r="14" spans="1:4">
      <c r="A14" s="1">
        <v>45778</v>
      </c>
      <c r="B14" t="s">
        <v>4</v>
      </c>
      <c r="C14">
        <v>47000</v>
      </c>
      <c r="D14">
        <v>48800</v>
      </c>
    </row>
    <row r="15" spans="1:4">
      <c r="A15" s="1">
        <v>45748</v>
      </c>
      <c r="B15" t="s">
        <v>4</v>
      </c>
      <c r="C15">
        <v>50600</v>
      </c>
      <c r="D15">
        <v>48000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9D473-2C4E-4F2B-B8B9-5D4B11EB6756}">
  <dimension ref="A3:G66"/>
  <sheetViews>
    <sheetView topLeftCell="A28" workbookViewId="0">
      <selection activeCell="F50" sqref="F50"/>
    </sheetView>
  </sheetViews>
  <sheetFormatPr defaultRowHeight="15"/>
  <cols>
    <col min="1" max="1" width="13.42578125" bestFit="1" customWidth="1"/>
    <col min="2" max="4" width="22.5703125" style="4" bestFit="1" customWidth="1"/>
    <col min="5" max="5" width="22.5703125" bestFit="1" customWidth="1"/>
    <col min="6" max="6" width="15.7109375" bestFit="1" customWidth="1"/>
    <col min="7" max="7" width="20.7109375" bestFit="1" customWidth="1"/>
  </cols>
  <sheetData>
    <row r="3" spans="1:4">
      <c r="A3" s="5" t="s">
        <v>11</v>
      </c>
      <c r="B3" s="4" t="s">
        <v>12</v>
      </c>
      <c r="C3" s="4" t="s">
        <v>13</v>
      </c>
      <c r="D3" s="4" t="s">
        <v>14</v>
      </c>
    </row>
    <row r="4" spans="1:4">
      <c r="A4" s="6" t="s">
        <v>5</v>
      </c>
      <c r="B4" s="4">
        <v>549600</v>
      </c>
      <c r="C4" s="4">
        <v>525600</v>
      </c>
      <c r="D4" s="4">
        <v>24000</v>
      </c>
    </row>
    <row r="5" spans="1:4">
      <c r="A5" s="6" t="s">
        <v>3</v>
      </c>
      <c r="B5" s="4">
        <v>645600</v>
      </c>
      <c r="C5" s="4">
        <v>609600</v>
      </c>
      <c r="D5" s="4">
        <v>36000</v>
      </c>
    </row>
    <row r="6" spans="1:4">
      <c r="A6" s="6" t="s">
        <v>4</v>
      </c>
      <c r="B6" s="4">
        <v>585600</v>
      </c>
      <c r="C6" s="4">
        <v>585600</v>
      </c>
      <c r="D6" s="4">
        <v>0</v>
      </c>
    </row>
    <row r="7" spans="1:4">
      <c r="A7" s="6" t="s">
        <v>6</v>
      </c>
      <c r="B7" s="4">
        <v>487600</v>
      </c>
      <c r="C7" s="4">
        <v>489600</v>
      </c>
      <c r="D7" s="4">
        <v>-2000</v>
      </c>
    </row>
    <row r="8" spans="1:4">
      <c r="A8" s="6" t="s">
        <v>15</v>
      </c>
      <c r="B8" s="4">
        <v>2268400</v>
      </c>
      <c r="C8" s="4">
        <v>2210400</v>
      </c>
      <c r="D8" s="4">
        <v>58000</v>
      </c>
    </row>
    <row r="12" spans="1:4">
      <c r="A12" s="5" t="s">
        <v>11</v>
      </c>
      <c r="B12" t="s">
        <v>12</v>
      </c>
      <c r="C12" t="s">
        <v>13</v>
      </c>
      <c r="D12" t="s">
        <v>16</v>
      </c>
    </row>
    <row r="13" spans="1:4">
      <c r="A13" s="6" t="s">
        <v>5</v>
      </c>
      <c r="B13" s="4">
        <v>549600</v>
      </c>
      <c r="C13" s="4">
        <v>525600</v>
      </c>
      <c r="D13" s="7">
        <v>1.0456621004566211</v>
      </c>
    </row>
    <row r="14" spans="1:4">
      <c r="A14" s="6" t="s">
        <v>3</v>
      </c>
      <c r="B14" s="4">
        <v>645600</v>
      </c>
      <c r="C14" s="4">
        <v>609600</v>
      </c>
      <c r="D14" s="7">
        <v>1.0590551181102361</v>
      </c>
    </row>
    <row r="15" spans="1:4">
      <c r="A15" s="6" t="s">
        <v>4</v>
      </c>
      <c r="B15" s="4">
        <v>585600</v>
      </c>
      <c r="C15" s="4">
        <v>585600</v>
      </c>
      <c r="D15" s="7">
        <v>1</v>
      </c>
    </row>
    <row r="16" spans="1:4">
      <c r="A16" s="6" t="s">
        <v>6</v>
      </c>
      <c r="B16" s="4">
        <v>487600</v>
      </c>
      <c r="C16" s="4">
        <v>489600</v>
      </c>
      <c r="D16" s="7">
        <v>0.99591503267973858</v>
      </c>
    </row>
    <row r="17" spans="1:4">
      <c r="A17" s="6" t="s">
        <v>15</v>
      </c>
      <c r="B17" s="4">
        <v>2268400</v>
      </c>
      <c r="C17" s="4">
        <v>2210400</v>
      </c>
      <c r="D17" s="7">
        <v>1.0262395946435034</v>
      </c>
    </row>
    <row r="18" spans="1:4">
      <c r="B18"/>
      <c r="C18"/>
    </row>
    <row r="19" spans="1:4">
      <c r="B19"/>
      <c r="C19"/>
    </row>
    <row r="20" spans="1:4">
      <c r="B20"/>
      <c r="C20"/>
    </row>
    <row r="21" spans="1:4">
      <c r="B21"/>
      <c r="C21"/>
    </row>
    <row r="22" spans="1:4">
      <c r="B22"/>
      <c r="C22"/>
    </row>
    <row r="23" spans="1:4">
      <c r="B23"/>
      <c r="C23"/>
    </row>
    <row r="24" spans="1:4">
      <c r="A24" s="5" t="s">
        <v>11</v>
      </c>
      <c r="B24" t="s">
        <v>13</v>
      </c>
      <c r="C24"/>
    </row>
    <row r="25" spans="1:4">
      <c r="A25" s="6" t="s">
        <v>17</v>
      </c>
      <c r="B25" s="4">
        <v>181000</v>
      </c>
      <c r="C25"/>
    </row>
    <row r="26" spans="1:4">
      <c r="A26" s="6" t="s">
        <v>18</v>
      </c>
      <c r="B26" s="4">
        <v>184200</v>
      </c>
      <c r="C26"/>
    </row>
    <row r="27" spans="1:4">
      <c r="A27" s="6" t="s">
        <v>19</v>
      </c>
      <c r="B27" s="4">
        <v>187400</v>
      </c>
      <c r="C27"/>
    </row>
    <row r="28" spans="1:4">
      <c r="A28" s="6" t="s">
        <v>20</v>
      </c>
      <c r="B28" s="4">
        <v>181000</v>
      </c>
      <c r="C28"/>
    </row>
    <row r="29" spans="1:4">
      <c r="A29" s="6" t="s">
        <v>21</v>
      </c>
      <c r="B29" s="4">
        <v>184200</v>
      </c>
      <c r="C29"/>
    </row>
    <row r="30" spans="1:4">
      <c r="A30" s="6" t="s">
        <v>22</v>
      </c>
      <c r="B30" s="4">
        <v>187400</v>
      </c>
      <c r="C30"/>
    </row>
    <row r="31" spans="1:4">
      <c r="A31" s="6" t="s">
        <v>23</v>
      </c>
      <c r="B31" s="4">
        <v>181000</v>
      </c>
      <c r="C31"/>
    </row>
    <row r="32" spans="1:4">
      <c r="A32" s="6" t="s">
        <v>24</v>
      </c>
      <c r="B32" s="4">
        <v>184200</v>
      </c>
      <c r="C32"/>
    </row>
    <row r="33" spans="1:4">
      <c r="A33" s="6" t="s">
        <v>25</v>
      </c>
      <c r="B33" s="4">
        <v>187400</v>
      </c>
      <c r="C33"/>
    </row>
    <row r="34" spans="1:4">
      <c r="A34" s="6" t="s">
        <v>26</v>
      </c>
      <c r="B34" s="4">
        <v>181000</v>
      </c>
      <c r="C34"/>
    </row>
    <row r="35" spans="1:4">
      <c r="A35" s="6" t="s">
        <v>27</v>
      </c>
      <c r="B35" s="4">
        <v>184200</v>
      </c>
      <c r="C35"/>
    </row>
    <row r="36" spans="1:4">
      <c r="A36" s="6" t="s">
        <v>28</v>
      </c>
      <c r="B36" s="4">
        <v>187400</v>
      </c>
      <c r="C36"/>
    </row>
    <row r="37" spans="1:4">
      <c r="A37" s="6" t="s">
        <v>15</v>
      </c>
      <c r="B37" s="4">
        <v>2210400</v>
      </c>
      <c r="C37"/>
    </row>
    <row r="38" spans="1:4">
      <c r="B38"/>
      <c r="C38"/>
    </row>
    <row r="39" spans="1:4">
      <c r="B39"/>
      <c r="C39"/>
    </row>
    <row r="40" spans="1:4">
      <c r="B40"/>
      <c r="C40"/>
    </row>
    <row r="41" spans="1:4">
      <c r="B41"/>
      <c r="C41"/>
    </row>
    <row r="45" spans="1:4">
      <c r="A45" s="5" t="s">
        <v>11</v>
      </c>
      <c r="B45" t="s">
        <v>14</v>
      </c>
      <c r="C45"/>
      <c r="D45"/>
    </row>
    <row r="46" spans="1:4">
      <c r="A46" s="6" t="s">
        <v>5</v>
      </c>
      <c r="B46" s="4">
        <v>24000</v>
      </c>
      <c r="C46"/>
      <c r="D46"/>
    </row>
    <row r="47" spans="1:4">
      <c r="A47" s="6" t="s">
        <v>3</v>
      </c>
      <c r="B47" s="4">
        <v>36000</v>
      </c>
      <c r="C47"/>
      <c r="D47"/>
    </row>
    <row r="48" spans="1:4">
      <c r="A48" s="6" t="s">
        <v>4</v>
      </c>
      <c r="B48" s="4">
        <v>0</v>
      </c>
      <c r="C48"/>
      <c r="D48"/>
    </row>
    <row r="49" spans="1:7">
      <c r="A49" s="6" t="s">
        <v>6</v>
      </c>
      <c r="B49" s="4">
        <v>-2000</v>
      </c>
      <c r="C49"/>
      <c r="D49" t="s">
        <v>12</v>
      </c>
      <c r="E49" t="s">
        <v>13</v>
      </c>
      <c r="F49" t="s">
        <v>14</v>
      </c>
      <c r="G49" t="s">
        <v>29</v>
      </c>
    </row>
    <row r="50" spans="1:7">
      <c r="A50" s="6" t="s">
        <v>15</v>
      </c>
      <c r="B50" s="4">
        <v>58000</v>
      </c>
      <c r="C50"/>
      <c r="D50" s="4">
        <v>2268400</v>
      </c>
      <c r="E50" s="4">
        <v>2210400</v>
      </c>
      <c r="F50" s="4">
        <v>58000</v>
      </c>
      <c r="G50" s="7">
        <v>1.0262395946435034</v>
      </c>
    </row>
    <row r="51" spans="1:7">
      <c r="B51"/>
      <c r="C51"/>
      <c r="D51"/>
    </row>
    <row r="52" spans="1:7">
      <c r="B52"/>
      <c r="C52"/>
      <c r="D52"/>
    </row>
    <row r="53" spans="1:7">
      <c r="B53"/>
      <c r="C53"/>
      <c r="D53"/>
    </row>
    <row r="54" spans="1:7">
      <c r="B54"/>
      <c r="C54"/>
      <c r="D54"/>
    </row>
    <row r="55" spans="1:7">
      <c r="B55"/>
      <c r="C55"/>
      <c r="D55"/>
    </row>
    <row r="56" spans="1:7">
      <c r="B56"/>
      <c r="C56"/>
      <c r="D56"/>
    </row>
    <row r="57" spans="1:7">
      <c r="B57"/>
      <c r="C57"/>
      <c r="D57"/>
    </row>
    <row r="58" spans="1:7">
      <c r="B58"/>
      <c r="C58"/>
      <c r="D58"/>
    </row>
    <row r="59" spans="1:7">
      <c r="B59"/>
      <c r="C59"/>
      <c r="D59"/>
    </row>
    <row r="60" spans="1:7">
      <c r="B60"/>
      <c r="C60"/>
      <c r="D60"/>
    </row>
    <row r="61" spans="1:7">
      <c r="B61"/>
      <c r="C61"/>
      <c r="D61"/>
    </row>
    <row r="62" spans="1:7">
      <c r="B62"/>
      <c r="C62"/>
      <c r="D62"/>
    </row>
    <row r="63" spans="1:7">
      <c r="D63"/>
    </row>
    <row r="64" spans="1:7">
      <c r="D64"/>
    </row>
    <row r="65" spans="4:4">
      <c r="D65"/>
    </row>
    <row r="66" spans="4:4">
      <c r="D6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DC6A6-1D89-44B5-9379-D58DCF4EF719}">
  <dimension ref="A1:D49"/>
  <sheetViews>
    <sheetView topLeftCell="A32" workbookViewId="0">
      <selection activeCell="C17" sqref="A2:D49"/>
    </sheetView>
  </sheetViews>
  <sheetFormatPr defaultRowHeight="15"/>
  <cols>
    <col min="1" max="1" width="11" style="2" bestFit="1" customWidth="1"/>
    <col min="2" max="2" width="9.5703125" style="3" bestFit="1" customWidth="1"/>
    <col min="3" max="4" width="17.85546875" style="4" bestFit="1" customWidth="1"/>
  </cols>
  <sheetData>
    <row r="1" spans="1:4">
      <c r="A1" s="2" t="s">
        <v>0</v>
      </c>
      <c r="B1" s="3" t="s">
        <v>1</v>
      </c>
      <c r="C1" s="4" t="s">
        <v>9</v>
      </c>
      <c r="D1" s="4" t="s">
        <v>2</v>
      </c>
    </row>
    <row r="2" spans="1:4">
      <c r="A2" s="2">
        <v>45658</v>
      </c>
      <c r="B2" s="3" t="s">
        <v>3</v>
      </c>
      <c r="C2" s="4">
        <v>52000</v>
      </c>
      <c r="D2" s="4">
        <v>50000</v>
      </c>
    </row>
    <row r="3" spans="1:4">
      <c r="A3" s="2">
        <v>45658</v>
      </c>
      <c r="B3" s="3" t="s">
        <v>4</v>
      </c>
      <c r="C3" s="4">
        <v>47000</v>
      </c>
      <c r="D3" s="4">
        <v>48000</v>
      </c>
    </row>
    <row r="4" spans="1:4">
      <c r="A4" s="2">
        <v>45658</v>
      </c>
      <c r="B4" s="3" t="s">
        <v>5</v>
      </c>
      <c r="C4" s="4">
        <v>44000</v>
      </c>
      <c r="D4" s="4">
        <v>43000</v>
      </c>
    </row>
    <row r="5" spans="1:4">
      <c r="A5" s="2">
        <v>45658</v>
      </c>
      <c r="B5" s="3" t="s">
        <v>6</v>
      </c>
      <c r="C5" s="4">
        <v>38500</v>
      </c>
      <c r="D5" s="4">
        <v>40000</v>
      </c>
    </row>
    <row r="6" spans="1:4">
      <c r="A6" s="2">
        <v>45689</v>
      </c>
      <c r="B6" s="3" t="s">
        <v>3</v>
      </c>
      <c r="C6" s="4">
        <v>53200</v>
      </c>
      <c r="D6" s="4">
        <v>50800</v>
      </c>
    </row>
    <row r="7" spans="1:4">
      <c r="A7" s="2">
        <v>45689</v>
      </c>
      <c r="B7" s="3" t="s">
        <v>4</v>
      </c>
      <c r="C7" s="4">
        <v>48200</v>
      </c>
      <c r="D7" s="4">
        <v>48800</v>
      </c>
    </row>
    <row r="8" spans="1:4">
      <c r="A8" s="2">
        <v>45689</v>
      </c>
      <c r="B8" s="3" t="s">
        <v>5</v>
      </c>
      <c r="C8" s="4">
        <v>45200</v>
      </c>
      <c r="D8" s="4">
        <v>43800</v>
      </c>
    </row>
    <row r="9" spans="1:4">
      <c r="A9" s="2">
        <v>45689</v>
      </c>
      <c r="B9" s="3" t="s">
        <v>6</v>
      </c>
      <c r="C9" s="4">
        <v>40200</v>
      </c>
      <c r="D9" s="4">
        <v>40800</v>
      </c>
    </row>
    <row r="10" spans="1:4">
      <c r="A10" s="2">
        <v>45717</v>
      </c>
      <c r="B10" s="3" t="s">
        <v>3</v>
      </c>
      <c r="C10" s="4">
        <v>54400</v>
      </c>
      <c r="D10" s="4">
        <v>51600</v>
      </c>
    </row>
    <row r="11" spans="1:4">
      <c r="A11" s="2">
        <v>45717</v>
      </c>
      <c r="B11" s="3" t="s">
        <v>4</v>
      </c>
      <c r="C11" s="4">
        <v>49400</v>
      </c>
      <c r="D11" s="4">
        <v>49600</v>
      </c>
    </row>
    <row r="12" spans="1:4">
      <c r="A12" s="2">
        <v>45717</v>
      </c>
      <c r="B12" s="3" t="s">
        <v>5</v>
      </c>
      <c r="C12" s="4">
        <v>46400</v>
      </c>
      <c r="D12" s="4">
        <v>44600</v>
      </c>
    </row>
    <row r="13" spans="1:4">
      <c r="A13" s="2">
        <v>45717</v>
      </c>
      <c r="B13" s="3" t="s">
        <v>6</v>
      </c>
      <c r="C13" s="4">
        <v>41400</v>
      </c>
      <c r="D13" s="4">
        <v>41600</v>
      </c>
    </row>
    <row r="14" spans="1:4">
      <c r="A14" s="2">
        <v>45748</v>
      </c>
      <c r="B14" s="3" t="s">
        <v>3</v>
      </c>
      <c r="C14" s="4">
        <v>55600</v>
      </c>
      <c r="D14" s="4">
        <v>50000</v>
      </c>
    </row>
    <row r="15" spans="1:4">
      <c r="A15" s="2">
        <v>45748</v>
      </c>
      <c r="B15" s="3" t="s">
        <v>4</v>
      </c>
      <c r="C15" s="4">
        <v>50600</v>
      </c>
      <c r="D15" s="4">
        <v>48000</v>
      </c>
    </row>
    <row r="16" spans="1:4">
      <c r="A16" s="2">
        <v>45748</v>
      </c>
      <c r="B16" s="3" t="s">
        <v>5</v>
      </c>
      <c r="C16" s="4">
        <v>47600</v>
      </c>
      <c r="D16" s="4">
        <v>43000</v>
      </c>
    </row>
    <row r="17" spans="1:4">
      <c r="A17" s="2">
        <v>45748</v>
      </c>
      <c r="B17" s="3" t="s">
        <v>6</v>
      </c>
      <c r="C17" s="4">
        <v>42100</v>
      </c>
      <c r="D17" s="4">
        <v>40000</v>
      </c>
    </row>
    <row r="18" spans="1:4">
      <c r="A18" s="2">
        <v>45778</v>
      </c>
      <c r="B18" s="3" t="s">
        <v>3</v>
      </c>
      <c r="C18" s="4">
        <v>52000</v>
      </c>
      <c r="D18" s="4">
        <v>50800</v>
      </c>
    </row>
    <row r="19" spans="1:4">
      <c r="A19" s="2">
        <v>45778</v>
      </c>
      <c r="B19" s="3" t="s">
        <v>4</v>
      </c>
      <c r="C19" s="4">
        <v>47000</v>
      </c>
      <c r="D19" s="4">
        <v>48800</v>
      </c>
    </row>
    <row r="20" spans="1:4">
      <c r="A20" s="2">
        <v>45778</v>
      </c>
      <c r="B20" s="3" t="s">
        <v>5</v>
      </c>
      <c r="C20" s="4">
        <v>44000</v>
      </c>
      <c r="D20" s="4">
        <v>43800</v>
      </c>
    </row>
    <row r="21" spans="1:4">
      <c r="A21" s="2">
        <v>45778</v>
      </c>
      <c r="B21" s="3" t="s">
        <v>6</v>
      </c>
      <c r="C21" s="4">
        <v>39000</v>
      </c>
      <c r="D21" s="4">
        <v>40800</v>
      </c>
    </row>
    <row r="22" spans="1:4">
      <c r="A22" s="2">
        <v>45809</v>
      </c>
      <c r="B22" s="3" t="s">
        <v>3</v>
      </c>
      <c r="C22" s="4">
        <v>53200</v>
      </c>
      <c r="D22" s="4">
        <v>51600</v>
      </c>
    </row>
    <row r="23" spans="1:4">
      <c r="A23" s="2">
        <v>45809</v>
      </c>
      <c r="B23" s="3" t="s">
        <v>4</v>
      </c>
      <c r="C23" s="4">
        <v>48200</v>
      </c>
      <c r="D23" s="4">
        <v>49600</v>
      </c>
    </row>
    <row r="24" spans="1:4">
      <c r="A24" s="2">
        <v>45809</v>
      </c>
      <c r="B24" s="3" t="s">
        <v>5</v>
      </c>
      <c r="C24" s="4">
        <v>45200</v>
      </c>
      <c r="D24" s="4">
        <v>44600</v>
      </c>
    </row>
    <row r="25" spans="1:4">
      <c r="A25" s="2">
        <v>45809</v>
      </c>
      <c r="B25" s="3" t="s">
        <v>6</v>
      </c>
      <c r="C25" s="4">
        <v>40200</v>
      </c>
      <c r="D25" s="4">
        <v>41600</v>
      </c>
    </row>
    <row r="26" spans="1:4">
      <c r="A26" s="2">
        <v>45839</v>
      </c>
      <c r="B26" s="3" t="s">
        <v>3</v>
      </c>
      <c r="C26" s="4">
        <v>54400</v>
      </c>
      <c r="D26" s="4">
        <v>50000</v>
      </c>
    </row>
    <row r="27" spans="1:4">
      <c r="A27" s="2">
        <v>45839</v>
      </c>
      <c r="B27" s="3" t="s">
        <v>4</v>
      </c>
      <c r="C27" s="4">
        <v>49400</v>
      </c>
      <c r="D27" s="4">
        <v>48000</v>
      </c>
    </row>
    <row r="28" spans="1:4">
      <c r="A28" s="2">
        <v>45839</v>
      </c>
      <c r="B28" s="3" t="s">
        <v>5</v>
      </c>
      <c r="C28" s="4">
        <v>46400</v>
      </c>
      <c r="D28" s="4">
        <v>43000</v>
      </c>
    </row>
    <row r="29" spans="1:4">
      <c r="A29" s="2">
        <v>45839</v>
      </c>
      <c r="B29" s="3" t="s">
        <v>6</v>
      </c>
      <c r="C29" s="4">
        <v>40900</v>
      </c>
      <c r="D29" s="4">
        <v>40000</v>
      </c>
    </row>
    <row r="30" spans="1:4">
      <c r="A30" s="2">
        <v>45870</v>
      </c>
      <c r="B30" s="3" t="s">
        <v>3</v>
      </c>
      <c r="C30" s="4">
        <v>55600</v>
      </c>
      <c r="D30" s="4">
        <v>50800</v>
      </c>
    </row>
    <row r="31" spans="1:4">
      <c r="A31" s="2">
        <v>45870</v>
      </c>
      <c r="B31" s="3" t="s">
        <v>4</v>
      </c>
      <c r="C31" s="4">
        <v>50600</v>
      </c>
      <c r="D31" s="4">
        <v>48800</v>
      </c>
    </row>
    <row r="32" spans="1:4">
      <c r="A32" s="2">
        <v>45870</v>
      </c>
      <c r="B32" s="3" t="s">
        <v>5</v>
      </c>
      <c r="C32" s="4">
        <v>47600</v>
      </c>
      <c r="D32" s="4">
        <v>43800</v>
      </c>
    </row>
    <row r="33" spans="1:4">
      <c r="A33" s="2">
        <v>45870</v>
      </c>
      <c r="B33" s="3" t="s">
        <v>6</v>
      </c>
      <c r="C33" s="4">
        <v>42600</v>
      </c>
      <c r="D33" s="4">
        <v>40800</v>
      </c>
    </row>
    <row r="34" spans="1:4">
      <c r="A34" s="2">
        <v>45901</v>
      </c>
      <c r="B34" s="3" t="s">
        <v>3</v>
      </c>
      <c r="C34" s="4">
        <v>52000</v>
      </c>
      <c r="D34" s="4">
        <v>51600</v>
      </c>
    </row>
    <row r="35" spans="1:4">
      <c r="A35" s="2">
        <v>45901</v>
      </c>
      <c r="B35" s="3" t="s">
        <v>4</v>
      </c>
      <c r="C35" s="4">
        <v>47000</v>
      </c>
      <c r="D35" s="4">
        <v>49600</v>
      </c>
    </row>
    <row r="36" spans="1:4">
      <c r="A36" s="2">
        <v>45901</v>
      </c>
      <c r="B36" s="3" t="s">
        <v>5</v>
      </c>
      <c r="C36" s="4">
        <v>44000</v>
      </c>
      <c r="D36" s="4">
        <v>44600</v>
      </c>
    </row>
    <row r="37" spans="1:4">
      <c r="A37" s="2">
        <v>45901</v>
      </c>
      <c r="B37" s="3" t="s">
        <v>6</v>
      </c>
      <c r="C37" s="4">
        <v>39000</v>
      </c>
      <c r="D37" s="4">
        <v>41600</v>
      </c>
    </row>
    <row r="38" spans="1:4">
      <c r="A38" s="2">
        <v>45931</v>
      </c>
      <c r="B38" s="3" t="s">
        <v>3</v>
      </c>
      <c r="C38" s="4">
        <v>53200</v>
      </c>
      <c r="D38" s="4">
        <v>50000</v>
      </c>
    </row>
    <row r="39" spans="1:4">
      <c r="A39" s="2">
        <v>45931</v>
      </c>
      <c r="B39" s="3" t="s">
        <v>4</v>
      </c>
      <c r="C39" s="4">
        <v>48200</v>
      </c>
      <c r="D39" s="4">
        <v>48000</v>
      </c>
    </row>
    <row r="40" spans="1:4">
      <c r="A40" s="2">
        <v>45931</v>
      </c>
      <c r="B40" s="3" t="s">
        <v>5</v>
      </c>
      <c r="C40" s="4">
        <v>45200</v>
      </c>
      <c r="D40" s="4">
        <v>43000</v>
      </c>
    </row>
    <row r="41" spans="1:4">
      <c r="A41" s="2">
        <v>45931</v>
      </c>
      <c r="B41" s="3" t="s">
        <v>6</v>
      </c>
      <c r="C41" s="4">
        <v>39700</v>
      </c>
      <c r="D41" s="4">
        <v>40000</v>
      </c>
    </row>
    <row r="42" spans="1:4">
      <c r="A42" s="2">
        <v>45962</v>
      </c>
      <c r="B42" s="3" t="s">
        <v>3</v>
      </c>
      <c r="C42" s="4">
        <v>54400</v>
      </c>
      <c r="D42" s="4">
        <v>50800</v>
      </c>
    </row>
    <row r="43" spans="1:4">
      <c r="A43" s="2">
        <v>45962</v>
      </c>
      <c r="B43" s="3" t="s">
        <v>4</v>
      </c>
      <c r="C43" s="4">
        <v>49400</v>
      </c>
      <c r="D43" s="4">
        <v>48800</v>
      </c>
    </row>
    <row r="44" spans="1:4">
      <c r="A44" s="2">
        <v>45962</v>
      </c>
      <c r="B44" s="3" t="s">
        <v>5</v>
      </c>
      <c r="C44" s="4">
        <v>46400</v>
      </c>
      <c r="D44" s="4">
        <v>43800</v>
      </c>
    </row>
    <row r="45" spans="1:4">
      <c r="A45" s="2">
        <v>45962</v>
      </c>
      <c r="B45" s="3" t="s">
        <v>6</v>
      </c>
      <c r="C45" s="4">
        <v>41400</v>
      </c>
      <c r="D45" s="4">
        <v>40800</v>
      </c>
    </row>
    <row r="46" spans="1:4">
      <c r="A46" s="2">
        <v>45992</v>
      </c>
      <c r="B46" s="3" t="s">
        <v>3</v>
      </c>
      <c r="C46" s="4">
        <v>55600</v>
      </c>
      <c r="D46" s="4">
        <v>51600</v>
      </c>
    </row>
    <row r="47" spans="1:4">
      <c r="A47" s="2">
        <v>45992</v>
      </c>
      <c r="B47" s="3" t="s">
        <v>4</v>
      </c>
      <c r="C47" s="4">
        <v>50600</v>
      </c>
      <c r="D47" s="4">
        <v>49600</v>
      </c>
    </row>
    <row r="48" spans="1:4">
      <c r="A48" s="2">
        <v>45992</v>
      </c>
      <c r="B48" s="3" t="s">
        <v>5</v>
      </c>
      <c r="C48" s="4">
        <v>47600</v>
      </c>
      <c r="D48" s="4">
        <v>44600</v>
      </c>
    </row>
    <row r="49" spans="1:4">
      <c r="A49" s="2">
        <v>45992</v>
      </c>
      <c r="B49" s="3" t="s">
        <v>6</v>
      </c>
      <c r="C49" s="4">
        <v>42600</v>
      </c>
      <c r="D49" s="4">
        <v>41600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00F22-05ED-4EA8-A247-5310BAFCB59A}">
  <dimension ref="A1"/>
  <sheetViews>
    <sheetView showGridLines="0" showRowColHeaders="0" tabSelected="1" workbookViewId="0">
      <selection activeCell="F21" sqref="F21"/>
    </sheetView>
  </sheetViews>
  <sheetFormatPr defaultRowHeight="15"/>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EA3DBD-3E4F-485A-9F77-EACA422592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Hope Mola</dc:creator>
  <cp:keywords/>
  <dc:description/>
  <cp:lastModifiedBy>Milcent Malatji</cp:lastModifiedBy>
  <cp:revision/>
  <dcterms:created xsi:type="dcterms:W3CDTF">2026-02-16T08:42:32Z</dcterms:created>
  <dcterms:modified xsi:type="dcterms:W3CDTF">2026-02-16T13:32:17Z</dcterms:modified>
  <cp:category/>
  <cp:contentStatus/>
</cp:coreProperties>
</file>